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uma Rehberi" sheetId="1" state="visible" r:id="rId1"/>
    <sheet xmlns:r="http://schemas.openxmlformats.org/officeDocument/2006/relationships" name="Mail Takibi" sheetId="2" state="visible" r:id="rId2"/>
    <sheet xmlns:r="http://schemas.openxmlformats.org/officeDocument/2006/relationships" name="Resortlar" sheetId="3" state="visible" r:id="rId3"/>
    <sheet xmlns:r="http://schemas.openxmlformats.org/officeDocument/2006/relationships" name="İşletmeci Gruplar" sheetId="4" state="visible" r:id="rId4"/>
    <sheet xmlns:r="http://schemas.openxmlformats.org/officeDocument/2006/relationships" name="Rakipler ve Projeler" sheetId="5" state="visible" r:id="rId5"/>
    <sheet xmlns:r="http://schemas.openxmlformats.org/officeDocument/2006/relationships" name="EPC-Ortak Adayları" sheetId="6" state="visible" r:id="rId6"/>
    <sheet xmlns:r="http://schemas.openxmlformats.org/officeDocument/2006/relationships" name="Kamu ve Finansman" sheetId="7" state="visible" r:id="rId7"/>
    <sheet xmlns:r="http://schemas.openxmlformats.org/officeDocument/2006/relationships" name="Geri Dönüş Hesabı" sheetId="8" state="visible" r:id="rId8"/>
    <sheet xmlns:r="http://schemas.openxmlformats.org/officeDocument/2006/relationships" name="Kaynakl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top" wrapText="1"/>
    </xf>
    <xf numFmtId="0" fontId="5" fillId="0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6" borderId="0" pivotButton="0" quotePrefix="0" xfId="0"/>
    <xf numFmtId="3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sortlar" displayName="Resortlar" ref="A1:Q91" headerRowCount="1">
  <autoFilter ref="A1:Q91"/>
  <tableColumns count="17">
    <tableColumn id="1" name="#"/>
    <tableColumn id="2" name="Resort"/>
    <tableColumn id="3" name="Atoll"/>
    <tableColumn id="4" name="İşletmeci / Grup"/>
    <tableColumn id="5" name="Yaklaşık oda"/>
    <tableColumn id="6" name="Enerji durumu"/>
    <tableColumn id="7" name="Bilinen enerji altyapısı (not)"/>
    <tableColumn id="8" name="Web sitesi"/>
    <tableColumn id="9" name="Genel e-posta (kurumsal)"/>
    <tableColumn id="10" name="Telefon"/>
    <tableColumn id="11" name="İletişim kaynağı / güven"/>
    <tableColumn id="12" name="Kaynak bağlantısı"/>
    <tableColumn id="13" name="Hedef rol"/>
    <tableColumn id="14" name="Puan (0–7)"/>
    <tableColumn id="15" name="Öncelik"/>
    <tableColumn id="16" name="Öncelik gerekçesi"/>
    <tableColumn id="17" name="Mail durumu"/>
  </tableColumns>
  <tableStyleInfo name="TableStyleLight9" showRowStripes="1"/>
</table>
</file>

<file path=xl/tables/table2.xml><?xml version="1.0" encoding="utf-8"?>
<table xmlns="http://schemas.openxmlformats.org/spreadsheetml/2006/main" id="2" name="Gruplar" displayName="Gruplar" ref="A1:L18" headerRowCount="1">
  <autoFilter ref="A1:L18"/>
  <tableColumns count="12">
    <tableColumn id="1" name="Grup"/>
    <tableColumn id="2" name="Merkez"/>
    <tableColumn id="3" name="Maldivler'deki resort sayısı (yakl.)"/>
    <tableColumn id="4" name="Öne çıkan resortlar"/>
    <tableColumn id="5" name="Enerji durumu / not"/>
    <tableColumn id="6" name="Web sitesi"/>
    <tableColumn id="7" name="Öncelik"/>
    <tableColumn id="8" name="Merkez ofis e-posta (kurumsal)"/>
    <tableColumn id="9" name="Merkez ofis telefon"/>
    <tableColumn id="10" name="Adres"/>
    <tableColumn id="11" name="Kaynak bağlantısı"/>
    <tableColumn id="12" name="Mail durumu"/>
  </tableColumns>
  <tableStyleInfo name="TableStyleLight9" showRowStripes="1"/>
</table>
</file>

<file path=xl/tables/table3.xml><?xml version="1.0" encoding="utf-8"?>
<table xmlns="http://schemas.openxmlformats.org/spreadsheetml/2006/main" id="3" name="Rakipler" displayName="Rakipler" ref="A1:F13" headerRowCount="1">
  <autoFilter ref="A1:F13"/>
  <tableColumns count="6">
    <tableColumn id="1" name="Firma"/>
    <tableColumn id="2" name="Menşe"/>
    <tableColumn id="3" name="Rol"/>
    <tableColumn id="4" name="Maldivler'deki bilinen projeler"/>
    <tableColumn id="5" name="Teknoloji / marka"/>
    <tableColumn id="6" name="Karea için anlamı"/>
  </tableColumns>
  <tableStyleInfo name="TableStyleLight9" showRowStripes="1"/>
</table>
</file>

<file path=xl/tables/table4.xml><?xml version="1.0" encoding="utf-8"?>
<table xmlns="http://schemas.openxmlformats.org/spreadsheetml/2006/main" id="4" name="Ortaklar" displayName="Ortaklar" ref="A1:G15" headerRowCount="1">
  <autoFilter ref="A1:G15"/>
  <tableColumns count="7">
    <tableColumn id="1" name="Firma"/>
    <tableColumn id="2" name="Tür"/>
    <tableColumn id="3" name="Bilinen marka tercihi (inverter/batarya)"/>
    <tableColumn id="4" name="Karea / HYXI için değerlendirme"/>
    <tableColumn id="5" name="Web sitesi"/>
    <tableColumn id="6" name="Not"/>
    <tableColumn id="7" name="Mail durumu"/>
  </tableColumns>
  <tableStyleInfo name="TableStyleLight9" showRowStripes="1"/>
</table>
</file>

<file path=xl/tables/table5.xml><?xml version="1.0" encoding="utf-8"?>
<table xmlns="http://schemas.openxmlformats.org/spreadsheetml/2006/main" id="5" name="Kamu" displayName="Kamu" ref="A1:D15" headerRowCount="1">
  <autoFilter ref="A1:D15"/>
  <tableColumns count="4">
    <tableColumn id="1" name="Kurum / Program"/>
    <tableColumn id="2" name="Rol"/>
    <tableColumn id="3" name="Karea için önemi"/>
    <tableColumn id="4" name="Web sitesi"/>
  </tableColumns>
  <tableStyleInfo name="TableStyleLight9" showRowStripes="1"/>
</table>
</file>

<file path=xl/tables/table6.xml><?xml version="1.0" encoding="utf-8"?>
<table xmlns="http://schemas.openxmlformats.org/spreadsheetml/2006/main" id="6" name="Kaynaklar" displayName="Kaynaklar" ref="A1:B24" headerRowCount="1">
  <autoFilter ref="A1:B24"/>
  <tableColumns count="2">
    <tableColumn id="1" name="Bilgi"/>
    <tableColumn id="2" name="Kaynak bağlantısı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Maldivler Resort Enerji Depolama – Potansiyel Müşteri Listesi</t>
        </is>
      </c>
    </row>
    <row r="2">
      <c r="A2" s="2" t="inlineStr">
        <is>
          <t>Hazırlayan: Karea Enerji iş geliştirme için masa başı araştırma (Ekim 2026)</t>
        </is>
      </c>
    </row>
    <row r="3">
      <c r="A3" s="2" t="inlineStr"/>
    </row>
    <row r="4">
      <c r="A4" s="3" t="inlineStr">
        <is>
          <t>SEKMELER</t>
        </is>
      </c>
    </row>
    <row r="5">
      <c r="A5" s="2" t="inlineStr">
        <is>
          <t>Resortlar: hedef resortlar, enerji durumu, öncelik puanı ve gerekçesi</t>
        </is>
      </c>
    </row>
    <row r="6">
      <c r="A6" s="2" t="inlineStr">
        <is>
          <t>İşletmeci Gruplar: karar merkezleri (birden çok adayı tek görüşmede açmak için)</t>
        </is>
      </c>
    </row>
    <row r="7">
      <c r="A7" s="2" t="inlineStr">
        <is>
          <t>Rakipler ve Projeler: pazardaki GES/ESS firmaları ve bilinen projeler</t>
        </is>
      </c>
    </row>
    <row r="8">
      <c r="A8" s="2" t="inlineStr">
        <is>
          <t>EPC-Ortak Adayları: yerel/bölgesel kurulum ortağı olabilecek firmalar</t>
        </is>
      </c>
    </row>
    <row r="9">
      <c r="A9" s="2" t="inlineStr">
        <is>
          <t>Kamu ve Finansman: bakanlık, düzenleyici kurum, kalkınma bankası programları</t>
        </is>
      </c>
    </row>
    <row r="10">
      <c r="A10" s="2" t="inlineStr">
        <is>
          <t>Geri Dönüş Hesabı: sarı hücreleri değiştirerek kendi senaryonuzu hesaplayın</t>
        </is>
      </c>
    </row>
    <row r="11">
      <c r="A11" s="2" t="inlineStr">
        <is>
          <t>Kaynaklar: bulguların dayandığı kamuya açık kaynaklar</t>
        </is>
      </c>
    </row>
    <row r="12">
      <c r="A12" s="2" t="inlineStr">
        <is>
          <t>Mail Takibi: gönderilen mailler, durumları ve takip tarihleri. Mail atılan kurumların satırları diğer sekmelerde de renklendirildi.</t>
        </is>
      </c>
    </row>
    <row r="13">
      <c r="A13" s="2" t="inlineStr"/>
    </row>
    <row r="14">
      <c r="A14" s="3" t="inlineStr">
        <is>
          <t>ÖNCELİK PUANI NASIL HESAPLANDI? (0–7 puan)</t>
        </is>
      </c>
    </row>
    <row r="15">
      <c r="A15" s="2" t="inlineStr">
        <is>
          <t>Büyüklük: 250+ oda = 3 puan, 120–249 = 2, 120 altı veya bilinmiyor = 1</t>
        </is>
      </c>
    </row>
    <row r="16">
      <c r="A16" s="2" t="inlineStr">
        <is>
          <t>Enerji durumu: GES var ama ESS yok = 3; yeni proje = 3; bilinen GES yok (dizel) = 2; GES+ESS rakip tarafından kurulmuş = 0</t>
        </is>
      </c>
    </row>
    <row r="17">
      <c r="A17" s="2" t="inlineStr">
        <is>
          <t>Çok-resortlu grup: +1 (tek karar birden fazla adayı kapsar)</t>
        </is>
      </c>
    </row>
    <row r="18">
      <c r="A18" s="2" t="inlineStr">
        <is>
          <t>Özel durum: Türk sahipli resort (Ayada) +3</t>
        </is>
      </c>
    </row>
    <row r="19">
      <c r="A19" s="2" t="inlineStr">
        <is>
          <t>Öncelik: A = 6–7 puan, B = 4–5 puan, C = 0–3 puan</t>
        </is>
      </c>
    </row>
    <row r="20">
      <c r="A20" s="2" t="inlineStr"/>
    </row>
    <row r="21">
      <c r="A21" s="3" t="inlineStr">
        <is>
          <t>ÖNEMLİ NOTLAR</t>
        </is>
      </c>
    </row>
    <row r="22">
      <c r="A22" s="2" t="inlineStr">
        <is>
          <t>• Oda sayıları yaklaşıktır (kamuya açık kaynaklardan/genel bilgiden); görüşme öncesi resort web sitesinden teyit edin.</t>
        </is>
      </c>
    </row>
    <row r="23">
      <c r="A23" s="2" t="inlineStr">
        <is>
          <t>• 'Dizel ağırlıklı' = internette GES bilgisine rastlanmadı demektir; resortun hiç GES'i olmadığı anlamına gelmeyebilir.</t>
        </is>
      </c>
    </row>
    <row r="24">
      <c r="A24" s="2" t="inlineStr">
        <is>
          <t>• İletişim sütunları yalnızca KURUMSAL genel adresleri içerir (info@, reservations@, sales@ vb.). Kişisel adres eklenmedi.</t>
        </is>
      </c>
    </row>
    <row r="25">
      <c r="A25" s="2" t="inlineStr">
        <is>
          <t>• 'İletişim kaynağı / güven' sütunu adresin nereden alındığını gösterir: 'Otelin kendi sitesi' en güvenilir olanıdır.</t>
        </is>
      </c>
    </row>
    <row r="26">
      <c r="A26" s="2" t="inlineStr">
        <is>
          <t>• Rezervasyon adresine yazarken konu satırına 'Attn: Director of Engineering / Chief Engineer' ekleyin; mail ilgili kişiye yönlendirilir.</t>
        </is>
      </c>
    </row>
    <row r="27">
      <c r="A27" s="2" t="inlineStr">
        <is>
          <t>• E-postası '—' olan resortlarda adres sitede gizlenmiş; web sitesindeki iletişim formunu veya telefonu kullanın.</t>
        </is>
      </c>
    </row>
    <row r="28">
      <c r="A28" s="2" t="inlineStr">
        <is>
          <t>• Resmi tam liste: Turizm Bakanlığı sitesindeki 'Registered Facilities' listesi (tourism.gov.mv) tüm resortların e-posta/telefonunu içerir.</t>
        </is>
      </c>
    </row>
    <row r="29">
      <c r="A29" s="2" t="inlineStr">
        <is>
          <t>• Bazı resortların adı 2025–2026'da değişti (Niva, Villa Park, Villa Nautica, Machchafushi, NH Reethi, Emerald Faarufushi) – notlarda belirtildi.</t>
        </is>
      </c>
    </row>
    <row r="30">
      <c r="A30" s="2" t="inlineStr">
        <is>
          <t>• 'Doğrulanmalı' yazan alanlar masa başı araştırmada kesinleştirilemedi.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26" customWidth="1" min="4" max="4"/>
    <col width="32" customWidth="1" min="5" max="5"/>
    <col width="56" customWidth="1" min="6" max="6"/>
    <col width="18" customWidth="1" min="7" max="7"/>
    <col width="34" customWidth="1" min="8" max="8"/>
    <col width="16" customWidth="1" min="9" max="9"/>
  </cols>
  <sheetData>
    <row r="1" ht="32" customHeight="1">
      <c r="A1" s="4" t="inlineStr">
        <is>
          <t>Gönderim tarihi</t>
        </is>
      </c>
      <c r="B1" s="4" t="inlineStr">
        <is>
          <t>Tur</t>
        </is>
      </c>
      <c r="C1" s="4" t="inlineStr">
        <is>
          <t>Kurum</t>
        </is>
      </c>
      <c r="D1" s="4" t="inlineStr">
        <is>
          <t>Kategori</t>
        </is>
      </c>
      <c r="E1" s="4" t="inlineStr">
        <is>
          <t>E-posta</t>
        </is>
      </c>
      <c r="F1" s="4" t="inlineStr">
        <is>
          <t>Konu</t>
        </is>
      </c>
      <c r="G1" s="4" t="inlineStr">
        <is>
          <t>Durum</t>
        </is>
      </c>
      <c r="H1" s="4" t="inlineStr">
        <is>
          <t>Sonraki adım</t>
        </is>
      </c>
      <c r="I1" s="4" t="inlineStr">
        <is>
          <t>Sonraki adım tarihi</t>
        </is>
      </c>
    </row>
    <row r="2">
      <c r="A2" s="5" t="inlineStr">
        <is>
          <t>2026-10-06</t>
        </is>
      </c>
      <c r="B2" s="5" t="inlineStr">
        <is>
          <t>1. tur</t>
        </is>
      </c>
      <c r="C2" s="5" t="inlineStr">
        <is>
          <t>Avi Technologies</t>
        </is>
      </c>
      <c r="D2" s="5" t="inlineStr">
        <is>
          <t>EPC / tedarik ortağı</t>
        </is>
      </c>
      <c r="E2" s="5" t="inlineStr">
        <is>
          <t>info@avitech.com.mv</t>
        </is>
      </c>
      <c r="F2" s="5" t="inlineStr">
        <is>
          <t>Inverter and storage supply partner for your Maldives hybrid projects</t>
        </is>
      </c>
      <c r="G2" s="5" t="inlineStr">
        <is>
          <t>Mail gönderildi</t>
        </is>
      </c>
      <c r="H2" s="5" t="inlineStr">
        <is>
          <t>Yanıt yoksa nazik hatırlatma maili</t>
        </is>
      </c>
      <c r="I2" s="5" t="inlineStr">
        <is>
          <t>2026-10-13</t>
        </is>
      </c>
    </row>
    <row r="3">
      <c r="A3" s="5" t="inlineStr">
        <is>
          <t>2026-10-06</t>
        </is>
      </c>
      <c r="B3" s="5" t="inlineStr">
        <is>
          <t>1. tur</t>
        </is>
      </c>
      <c r="C3" s="5" t="inlineStr">
        <is>
          <t>Atoll Solar (Octopus Systems)</t>
        </is>
      </c>
      <c r="D3" s="5" t="inlineStr">
        <is>
          <t>EPC / tedarik ortağı</t>
        </is>
      </c>
      <c r="E3" s="5" t="inlineStr">
        <is>
          <t>hello@atollsolar.com</t>
        </is>
      </c>
      <c r="F3" s="5" t="inlineStr">
        <is>
          <t>A second inverter and storage source for your resort projects</t>
        </is>
      </c>
      <c r="G3" s="5" t="inlineStr">
        <is>
          <t>Mail gönderildi</t>
        </is>
      </c>
      <c r="H3" s="5" t="inlineStr">
        <is>
          <t>Yanıt yoksa nazik hatırlatma maili</t>
        </is>
      </c>
      <c r="I3" s="5" t="inlineStr">
        <is>
          <t>2026-10-13</t>
        </is>
      </c>
    </row>
    <row r="4">
      <c r="A4" s="5" t="inlineStr">
        <is>
          <t>2026-10-06</t>
        </is>
      </c>
      <c r="B4" s="5" t="inlineStr">
        <is>
          <t>1. tur</t>
        </is>
      </c>
      <c r="C4" s="5" t="inlineStr">
        <is>
          <t>Swimsol Maldives</t>
        </is>
      </c>
      <c r="D4" s="5" t="inlineStr">
        <is>
          <t>EPC / tedarik ortağı</t>
        </is>
      </c>
      <c r="E4" s="5" t="inlineStr">
        <is>
          <t>maldives@swimsol.com</t>
        </is>
      </c>
      <c r="F4" s="5" t="inlineStr">
        <is>
          <t>Inverter and battery storage supply for your resort solar sites</t>
        </is>
      </c>
      <c r="G4" s="5" t="inlineStr">
        <is>
          <t>Mail gönderildi</t>
        </is>
      </c>
      <c r="H4" s="5" t="inlineStr">
        <is>
          <t>Yanıt yoksa nazik hatırlatma maili</t>
        </is>
      </c>
      <c r="I4" s="5" t="inlineStr">
        <is>
          <t>2026-10-13</t>
        </is>
      </c>
    </row>
    <row r="5">
      <c r="A5" s="5" t="inlineStr">
        <is>
          <t>2026-10-06</t>
        </is>
      </c>
      <c r="B5" s="5" t="inlineStr">
        <is>
          <t>1. tur</t>
        </is>
      </c>
      <c r="C5" s="5" t="inlineStr">
        <is>
          <t>Ecogreen Maldives</t>
        </is>
      </c>
      <c r="D5" s="5" t="inlineStr">
        <is>
          <t>EPC / tedarik ortağı</t>
        </is>
      </c>
      <c r="E5" s="5" t="inlineStr">
        <is>
          <t>contact@ecogreenmaldives.com</t>
        </is>
      </c>
      <c r="F5" s="5" t="inlineStr">
        <is>
          <t>Inverter and storage supply for your projects across the atolls</t>
        </is>
      </c>
      <c r="G5" s="5" t="inlineStr">
        <is>
          <t>Mail gönderildi</t>
        </is>
      </c>
      <c r="H5" s="5" t="inlineStr">
        <is>
          <t>Yanıt yoksa nazik hatırlatma maili</t>
        </is>
      </c>
      <c r="I5" s="5" t="inlineStr">
        <is>
          <t>2026-10-13</t>
        </is>
      </c>
    </row>
    <row r="6">
      <c r="A6" s="5" t="inlineStr">
        <is>
          <t>2026-10-06</t>
        </is>
      </c>
      <c r="B6" s="5" t="inlineStr">
        <is>
          <t>1. tur</t>
        </is>
      </c>
      <c r="C6" s="5" t="inlineStr">
        <is>
          <t>SunCore Energy</t>
        </is>
      </c>
      <c r="D6" s="5" t="inlineStr">
        <is>
          <t>EPC / tedarik ortağı</t>
        </is>
      </c>
      <c r="E6" s="5" t="inlineStr">
        <is>
          <t>info@suncore.mv</t>
        </is>
      </c>
      <c r="F6" s="5" t="inlineStr">
        <is>
          <t>Storage and inverter supply for SunCore projects</t>
        </is>
      </c>
      <c r="G6" s="5" t="inlineStr">
        <is>
          <t>Mail gönderildi</t>
        </is>
      </c>
      <c r="H6" s="5" t="inlineStr">
        <is>
          <t>Yanıt yoksa nazik hatırlatma maili</t>
        </is>
      </c>
      <c r="I6" s="5" t="inlineStr">
        <is>
          <t>2026-10-13</t>
        </is>
      </c>
    </row>
    <row r="7">
      <c r="A7" s="5" t="inlineStr">
        <is>
          <t>2026-10-06</t>
        </is>
      </c>
      <c r="B7" s="5" t="inlineStr">
        <is>
          <t>1. tur</t>
        </is>
      </c>
      <c r="C7" s="5" t="inlineStr">
        <is>
          <t>Magnetron Maldives</t>
        </is>
      </c>
      <c r="D7" s="5" t="inlineStr">
        <is>
          <t>EPC / tedarik ortağı</t>
        </is>
      </c>
      <c r="E7" s="5" t="inlineStr">
        <is>
          <t>info@magnetronmaldives.com</t>
        </is>
      </c>
      <c r="F7" s="5" t="inlineStr">
        <is>
          <t>Inverter and storage supply for your resort and island solar work</t>
        </is>
      </c>
      <c r="G7" s="5" t="inlineStr">
        <is>
          <t>Mail gönderildi</t>
        </is>
      </c>
      <c r="H7" s="5" t="inlineStr">
        <is>
          <t>Yanıt yoksa nazik hatırlatma maili</t>
        </is>
      </c>
      <c r="I7" s="5" t="inlineStr">
        <is>
          <t>2026-10-13</t>
        </is>
      </c>
    </row>
    <row r="8">
      <c r="A8" s="5" t="inlineStr">
        <is>
          <t>2026-10-06</t>
        </is>
      </c>
      <c r="B8" s="5" t="inlineStr">
        <is>
          <t>1. tur</t>
        </is>
      </c>
      <c r="C8" s="5" t="inlineStr">
        <is>
          <t>Hayleys Solar / Hayleys Fentons</t>
        </is>
      </c>
      <c r="D8" s="5" t="inlineStr">
        <is>
          <t>EPC / tedarik ortağı</t>
        </is>
      </c>
      <c r="E8" s="5" t="inlineStr">
        <is>
          <t>info@hayleyssolar.com</t>
        </is>
      </c>
      <c r="F8" s="5" t="inlineStr">
        <is>
          <t>Huawei and HYXI inverter and storage supply for your Maldives projects</t>
        </is>
      </c>
      <c r="G8" s="5" t="inlineStr">
        <is>
          <t>Mail gönderildi</t>
        </is>
      </c>
      <c r="H8" s="5" t="inlineStr">
        <is>
          <t>Yanıt yoksa nazik hatırlatma maili</t>
        </is>
      </c>
      <c r="I8" s="5" t="inlineStr">
        <is>
          <t>2026-10-13</t>
        </is>
      </c>
    </row>
    <row r="9">
      <c r="A9" s="5" t="inlineStr">
        <is>
          <t>2026-10-06</t>
        </is>
      </c>
      <c r="B9" s="5" t="inlineStr">
        <is>
          <t>1. tur</t>
        </is>
      </c>
      <c r="C9" s="5" t="inlineStr">
        <is>
          <t>Canopy Power</t>
        </is>
      </c>
      <c r="D9" s="5" t="inlineStr">
        <is>
          <t>EPC / tedarik ortağı</t>
        </is>
      </c>
      <c r="E9" s="5" t="inlineStr">
        <is>
          <t>contact@canopypower.com</t>
        </is>
      </c>
      <c r="F9" s="5" t="inlineStr">
        <is>
          <t>Huawei and HYXI inverter and storage supply for island microgrids</t>
        </is>
      </c>
      <c r="G9" s="5" t="inlineStr">
        <is>
          <t>Mail gönderildi</t>
        </is>
      </c>
      <c r="H9" s="5" t="inlineStr">
        <is>
          <t>Yanıt yoksa nazik hatırlatma maili</t>
        </is>
      </c>
      <c r="I9" s="5" t="inlineStr">
        <is>
          <t>2026-10-13</t>
        </is>
      </c>
    </row>
    <row r="10">
      <c r="A10" s="5" t="inlineStr">
        <is>
          <t>2026-10-06</t>
        </is>
      </c>
      <c r="B10" s="5" t="inlineStr">
        <is>
          <t>1. tur</t>
        </is>
      </c>
      <c r="C10" s="5" t="inlineStr">
        <is>
          <t>SINOSOAR (Maldivler ofisi var)</t>
        </is>
      </c>
      <c r="D10" s="5" t="inlineStr">
        <is>
          <t>EPC / tedarik ortağı</t>
        </is>
      </c>
      <c r="E10" s="5" t="inlineStr">
        <is>
          <t>marketing@sinosoarhybrid.com</t>
        </is>
      </c>
      <c r="F10" s="5" t="inlineStr">
        <is>
          <t>Inverter and storage supply for your Maldives island projects</t>
        </is>
      </c>
      <c r="G10" s="5" t="inlineStr">
        <is>
          <t>Mail gönderildi</t>
        </is>
      </c>
      <c r="H10" s="5" t="inlineStr">
        <is>
          <t>Yanıt yoksa nazik hatırlatma maili</t>
        </is>
      </c>
      <c r="I10" s="5" t="inlineStr">
        <is>
          <t>2026-10-13</t>
        </is>
      </c>
    </row>
    <row r="11">
      <c r="A11" s="5" t="inlineStr">
        <is>
          <t>2026-10-06</t>
        </is>
      </c>
      <c r="B11" s="5" t="inlineStr">
        <is>
          <t>1. tur</t>
        </is>
      </c>
      <c r="C11" s="5" t="inlineStr">
        <is>
          <t>Aydeniz Grubu (Ayada Maldives sahibi)</t>
        </is>
      </c>
      <c r="D11" s="5" t="inlineStr">
        <is>
          <t>Son kullanıcı (resort sahibi)</t>
        </is>
      </c>
      <c r="E11" s="5" t="inlineStr">
        <is>
          <t>info@aydeniz.com</t>
        </is>
      </c>
      <c r="F11" s="5" t="inlineStr">
        <is>
          <t>Ayada Maldives için dizel tüketimini azaltacak güneş + batarya önerisi</t>
        </is>
      </c>
      <c r="G11" s="5" t="inlineStr">
        <is>
          <t>Mail gönderildi</t>
        </is>
      </c>
      <c r="H11" s="5" t="inlineStr">
        <is>
          <t>Yanıt yoksa nazik hatırlatma maili</t>
        </is>
      </c>
      <c r="I11" s="5" t="inlineStr">
        <is>
          <t>2026-10-13</t>
        </is>
      </c>
    </row>
    <row r="13">
      <c r="A13" s="6" t="inlineStr">
        <is>
          <t>Renkler:</t>
        </is>
      </c>
    </row>
    <row r="14">
      <c r="A14" s="7" t="inlineStr">
        <is>
          <t>Mail gönderildi</t>
        </is>
      </c>
    </row>
    <row r="15">
      <c r="A15" s="8" t="inlineStr">
        <is>
          <t>Yanıt geldi</t>
        </is>
      </c>
    </row>
    <row r="16">
      <c r="A16" s="9" t="inlineStr">
        <is>
          <t>Görüşme planlandı</t>
        </is>
      </c>
    </row>
    <row r="17">
      <c r="A17" s="10" t="inlineStr">
        <is>
          <t>İlgilenmiyor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28" customWidth="1" min="4" max="4"/>
    <col width="10" customWidth="1" min="5" max="5"/>
    <col width="26" customWidth="1" min="6" max="6"/>
    <col width="42" customWidth="1" min="7" max="7"/>
    <col width="26" customWidth="1" min="8" max="8"/>
    <col width="34" customWidth="1" min="9" max="9"/>
    <col width="18" customWidth="1" min="10" max="10"/>
    <col width="36" customWidth="1" min="11" max="11"/>
    <col width="40" customWidth="1" min="12" max="12"/>
    <col width="40" customWidth="1" min="13" max="13"/>
    <col width="9" customWidth="1" min="14" max="14"/>
    <col width="9" customWidth="1" min="15" max="15"/>
    <col width="60" customWidth="1" min="16" max="16"/>
    <col width="26" customWidth="1" min="17" max="17"/>
  </cols>
  <sheetData>
    <row r="1" ht="32" customHeight="1">
      <c r="A1" s="4" t="inlineStr">
        <is>
          <t>#</t>
        </is>
      </c>
      <c r="B1" s="4" t="inlineStr">
        <is>
          <t>Resort</t>
        </is>
      </c>
      <c r="C1" s="4" t="inlineStr">
        <is>
          <t>Atoll</t>
        </is>
      </c>
      <c r="D1" s="4" t="inlineStr">
        <is>
          <t>İşletmeci / Grup</t>
        </is>
      </c>
      <c r="E1" s="4" t="inlineStr">
        <is>
          <t>Yaklaşık oda</t>
        </is>
      </c>
      <c r="F1" s="4" t="inlineStr">
        <is>
          <t>Enerji durumu</t>
        </is>
      </c>
      <c r="G1" s="4" t="inlineStr">
        <is>
          <t>Bilinen enerji altyapısı (not)</t>
        </is>
      </c>
      <c r="H1" s="4" t="inlineStr">
        <is>
          <t>Web sitesi</t>
        </is>
      </c>
      <c r="I1" s="4" t="inlineStr">
        <is>
          <t>Genel e-posta (kurumsal)</t>
        </is>
      </c>
      <c r="J1" s="4" t="inlineStr">
        <is>
          <t>Telefon</t>
        </is>
      </c>
      <c r="K1" s="4" t="inlineStr">
        <is>
          <t>İletişim kaynağı / güven</t>
        </is>
      </c>
      <c r="L1" s="4" t="inlineStr">
        <is>
          <t>Kaynak bağlantısı</t>
        </is>
      </c>
      <c r="M1" s="4" t="inlineStr">
        <is>
          <t>Hedef rol</t>
        </is>
      </c>
      <c r="N1" s="4" t="inlineStr">
        <is>
          <t>Puan (0–7)</t>
        </is>
      </c>
      <c r="O1" s="4" t="inlineStr">
        <is>
          <t>Öncelik</t>
        </is>
      </c>
      <c r="P1" s="4" t="inlineStr">
        <is>
          <t>Öncelik gerekçesi</t>
        </is>
      </c>
      <c r="Q1" s="4" t="inlineStr">
        <is>
          <t>Mail durumu</t>
        </is>
      </c>
    </row>
    <row r="2">
      <c r="A2" s="11" t="n">
        <v>1</v>
      </c>
      <c r="B2" s="11" t="inlineStr">
        <is>
          <t>Kuramathi Maldives</t>
        </is>
      </c>
      <c r="C2" s="11" t="inlineStr">
        <is>
          <t>Alif Alif (Rasdhoo)</t>
        </is>
      </c>
      <c r="D2" s="11" t="inlineStr">
        <is>
          <t>VERSA Hospitality (Niva)</t>
        </is>
      </c>
      <c r="E2" s="11" t="n">
        <v>360</v>
      </c>
      <c r="F2" s="11" t="inlineStr">
        <is>
          <t>Kısmi GES, ESS yok/bilinmiyor</t>
        </is>
      </c>
      <c r="G2" s="11" t="inlineStr">
        <is>
          <t>Swimsol çatı GES (servis binaları)</t>
        </is>
      </c>
      <c r="H2" s="11" t="inlineStr">
        <is>
          <t>nivakuramathi.com</t>
        </is>
      </c>
      <c r="I2" s="11" t="inlineStr">
        <is>
          <t>info@kuramathi.com</t>
        </is>
      </c>
      <c r="J2" s="11" t="inlineStr">
        <is>
          <t>+960 666 0527</t>
        </is>
      </c>
      <c r="K2" s="11" t="inlineStr">
        <is>
          <t>Arama sonucu (otel bilgisi); 'Niva Kuramathi' adıyla yeni marka/site görünüyor (nivakuramathi.com) – doğrulanmalı</t>
        </is>
      </c>
      <c r="L2" s="11" t="inlineStr">
        <is>
          <t>https://www.nivakuramathi.com/contact/</t>
        </is>
      </c>
      <c r="M2" s="11" t="inlineStr">
        <is>
          <t>Resort: Director of Engineering / Chief Engineer, General Manager; Grup: Technical Services / Sustainability Director</t>
        </is>
      </c>
      <c r="N2" s="11" t="n">
        <v>7</v>
      </c>
      <c r="O2" s="12" t="inlineStr">
        <is>
          <t>A</t>
        </is>
      </c>
      <c r="P2" s="11" t="inlineStr">
        <is>
          <t>büyük resort (yüksek dizel tüketimi); GES var ama ESS yok -&gt; en uygun ESS ilavesi hedefi; çok-resortlu grup (tek kararla birden fazla ada)</t>
        </is>
      </c>
    </row>
    <row r="3">
      <c r="A3" s="11" t="n">
        <v>2</v>
      </c>
      <c r="B3" s="11" t="inlineStr">
        <is>
          <t>Sun Island Resort &amp; Spa</t>
        </is>
      </c>
      <c r="C3" s="11" t="inlineStr">
        <is>
          <t>Alif Dhaal (Güney Ari)</t>
        </is>
      </c>
      <c r="D3" s="11" t="inlineStr">
        <is>
          <t>Villa Hotels &amp; Resorts</t>
        </is>
      </c>
      <c r="E3" s="11" t="n">
        <v>350</v>
      </c>
      <c r="F3" s="11" t="inlineStr">
        <is>
          <t>Kısmi GES, ESS yok/bilinmiyor</t>
        </is>
      </c>
      <c r="G3" s="11" t="inlineStr">
        <is>
          <t>Yeni adı Villa Park; 2.400+ güneş paneli var</t>
        </is>
      </c>
      <c r="H3" s="11" t="inlineStr">
        <is>
          <t>villaresorts.com</t>
        </is>
      </c>
      <c r="I3" s="11" t="inlineStr">
        <is>
          <t>park@villaresorts.com; hello@villaresorts.com (Villa Resorts genel)</t>
        </is>
      </c>
      <c r="J3" s="11" t="inlineStr">
        <is>
          <t>+960 668 0088</t>
        </is>
      </c>
      <c r="K3" s="11" t="inlineStr">
        <is>
          <t>Otelin kendi sitesi. NOT: Yeni adı 'Villa Park' (eski Sun Island)</t>
        </is>
      </c>
      <c r="L3" s="11" t="inlineStr">
        <is>
          <t>https://villaresorts.com/villa-park/contact/</t>
        </is>
      </c>
      <c r="M3" s="11" t="inlineStr">
        <is>
          <t>Resort: Director of Engineering / Chief Engineer, General Manager; Grup: Technical Services / Sustainability Director</t>
        </is>
      </c>
      <c r="N3" s="11" t="n">
        <v>7</v>
      </c>
      <c r="O3" s="12" t="inlineStr">
        <is>
          <t>A</t>
        </is>
      </c>
      <c r="P3" s="11" t="inlineStr">
        <is>
          <t>büyük resort (yüksek dizel tüketimi); GES var ama ESS yok -&gt; en uygun ESS ilavesi hedefi; çok-resortlu grup (tek kararla birden fazla ada)</t>
        </is>
      </c>
    </row>
    <row r="4">
      <c r="A4" s="11" t="n">
        <v>3</v>
      </c>
      <c r="B4" s="11" t="inlineStr">
        <is>
          <t>Anantara Dhigu / Veli / Naladhu</t>
        </is>
      </c>
      <c r="C4" s="11" t="inlineStr">
        <is>
          <t>Kaafu (Güney Malé)</t>
        </is>
      </c>
      <c r="D4" s="11" t="inlineStr">
        <is>
          <t>Minor Hotels</t>
        </is>
      </c>
      <c r="E4" s="11" t="n">
        <v>250</v>
      </c>
      <c r="F4" s="11" t="inlineStr">
        <is>
          <t>Dizel ağırlıklı (kamuya açık GES bilgisi yok)</t>
        </is>
      </c>
      <c r="G4" s="11" t="inlineStr">
        <is>
          <t>3 resort komşu adalarda</t>
        </is>
      </c>
      <c r="H4" s="11" t="inlineStr">
        <is>
          <t>anantara.com</t>
        </is>
      </c>
      <c r="I4" s="11" t="inlineStr">
        <is>
          <t>dhigumaldives@anantara.com</t>
        </is>
      </c>
      <c r="J4" s="11" t="inlineStr">
        <is>
          <t>+960 664 4100</t>
        </is>
      </c>
      <c r="K4" s="11" t="inlineStr">
        <is>
          <t>Otelin kendi sitesi (iletişim sayfası)</t>
        </is>
      </c>
      <c r="L4" s="11" t="inlineStr">
        <is>
          <t>https://www.anantara.com/en/dhigu-maldives/contact</t>
        </is>
      </c>
      <c r="M4" s="11" t="inlineStr">
        <is>
          <t>Resort: Director of Engineering / Chief Engineer, General Manager; Grup: Technical Services / Sustainability Director</t>
        </is>
      </c>
      <c r="N4" s="11" t="n">
        <v>6</v>
      </c>
      <c r="O4" s="12" t="inlineStr">
        <is>
          <t>A</t>
        </is>
      </c>
      <c r="P4" s="11" t="inlineStr">
        <is>
          <t>büyük resort (yüksek dizel tüketimi); bilinen GES yok -&gt; GES+ESS paketi; çok-resortlu grup (tek kararla birden fazla ada)</t>
        </is>
      </c>
    </row>
    <row r="5">
      <c r="A5" s="11" t="n">
        <v>4</v>
      </c>
      <c r="B5" s="11" t="inlineStr">
        <is>
          <t>Atmosphere Kanifushi</t>
        </is>
      </c>
      <c r="C5" s="11" t="inlineStr">
        <is>
          <t>Lhaviyani</t>
        </is>
      </c>
      <c r="D5" s="11" t="inlineStr">
        <is>
          <t>Atmosphere Core</t>
        </is>
      </c>
      <c r="E5" s="11" t="n">
        <v>150</v>
      </c>
      <c r="F5" s="11" t="inlineStr">
        <is>
          <t>Kısmi GES, ESS yok/bilinmiyor</t>
        </is>
      </c>
      <c r="G5" s="11" t="inlineStr">
        <is>
          <t>Grup genelinde ~8.900 panel (çatı GES)</t>
        </is>
      </c>
      <c r="H5" s="11" t="inlineStr">
        <is>
          <t>atmosphere-kanifushi.com</t>
        </is>
      </c>
      <c r="I5" s="11" t="inlineStr">
        <is>
          <t>reservations@atmosphere-kanifushi.com</t>
        </is>
      </c>
      <c r="J5" s="11" t="inlineStr">
        <is>
          <t>+960 662 0066</t>
        </is>
      </c>
      <c r="K5" s="11" t="inlineStr">
        <is>
          <t>Otelin kendi sitesi; genel adres sayfada gizlenmiş</t>
        </is>
      </c>
      <c r="L5" s="11" t="inlineStr">
        <is>
          <t>https://atmosphere-kanifushi.com/en/contact-us</t>
        </is>
      </c>
      <c r="M5" s="11" t="inlineStr">
        <is>
          <t>Resort: Director of Engineering / Chief Engineer, General Manager; Grup: Technical Services / Sustainability Director</t>
        </is>
      </c>
      <c r="N5" s="11" t="n">
        <v>6</v>
      </c>
      <c r="O5" s="12" t="inlineStr">
        <is>
          <t>A</t>
        </is>
      </c>
      <c r="P5" s="11" t="inlineStr">
        <is>
          <t>orta-büyük resort; GES var ama ESS yok -&gt; en uygun ESS ilavesi hedefi; çok-resortlu grup (tek kararla birden fazla ada)</t>
        </is>
      </c>
    </row>
    <row r="6">
      <c r="A6" s="5" t="n">
        <v>5</v>
      </c>
      <c r="B6" s="5" t="inlineStr">
        <is>
          <t>Ayada Maldives</t>
        </is>
      </c>
      <c r="C6" s="5" t="inlineStr">
        <is>
          <t>Gaafu Dhaalu</t>
        </is>
      </c>
      <c r="D6" s="5" t="inlineStr">
        <is>
          <t>Aydeniz Grubu (Ankara, TÜRK)</t>
        </is>
      </c>
      <c r="E6" s="5" t="n">
        <v>110</v>
      </c>
      <c r="F6" s="5" t="inlineStr">
        <is>
          <t>Dizel ağırlıklı (kamuya açık GES bilgisi yok)</t>
        </is>
      </c>
      <c r="G6" s="5" t="inlineStr">
        <is>
          <t>Türk sahipli (Aydeniz Grubu) – Türkçe, doğrudan sahibe ulaşılabilir</t>
        </is>
      </c>
      <c r="H6" s="5" t="inlineStr">
        <is>
          <t>ayadamaldives.com</t>
        </is>
      </c>
      <c r="I6" s="5" t="inlineStr">
        <is>
          <t>info@ayadamaldives.com</t>
        </is>
      </c>
      <c r="J6" s="5" t="inlineStr">
        <is>
          <t>+960 684 4444; Türkiye: 444 6 200</t>
        </is>
      </c>
      <c r="K6" s="5" t="inlineStr">
        <is>
          <t>Otelin kendi sitesi. TÜRK SAHİPLİ: Aydeniz Grubu (Ankara) – teyit edildi</t>
        </is>
      </c>
      <c r="L6" s="5" t="inlineStr">
        <is>
          <t>https://www.ayadamaldives.com/contact</t>
        </is>
      </c>
      <c r="M6" s="5" t="inlineStr">
        <is>
          <t>Resort: Director of Engineering / Chief Engineer, General Manager; Grup: Technical Services / Sustainability Director</t>
        </is>
      </c>
      <c r="N6" s="5" t="n">
        <v>6</v>
      </c>
      <c r="O6" s="12" t="inlineStr">
        <is>
          <t>A</t>
        </is>
      </c>
      <c r="P6" s="5" t="inlineStr">
        <is>
          <t>küçük/butik resort; bilinen GES yok -&gt; GES+ESS paketi; Türk sahipli (Aydeniz Grubu, Ankara) – doğrudan sahiple Türkçe görüşme, ilk referans için ideal</t>
        </is>
      </c>
      <c r="Q6" s="5" t="inlineStr">
        <is>
          <t>Mail gönderildi (2026-10-06)</t>
        </is>
      </c>
    </row>
    <row r="7">
      <c r="A7" s="11" t="n">
        <v>6</v>
      </c>
      <c r="B7" s="11" t="inlineStr">
        <is>
          <t>Canareef Resort Maldives</t>
        </is>
      </c>
      <c r="C7" s="11" t="inlineStr">
        <is>
          <t>Addu</t>
        </is>
      </c>
      <c r="D7" s="11" t="inlineStr">
        <is>
          <t>Bağımsız</t>
        </is>
      </c>
      <c r="E7" s="11" t="n">
        <v>280</v>
      </c>
      <c r="F7" s="11" t="inlineStr">
        <is>
          <t>Kısmi GES, ESS yok/bilinmiyor</t>
        </is>
      </c>
      <c r="G7" s="11" t="inlineStr">
        <is>
          <t>Büyük çatı GES kurulumu duyuruldu</t>
        </is>
      </c>
      <c r="H7" s="11" t="inlineStr">
        <is>
          <t>canareef.com</t>
        </is>
      </c>
      <c r="I7" s="11" t="inlineStr">
        <is>
          <t>info@canareef.com</t>
        </is>
      </c>
      <c r="J7" s="11" t="inlineStr">
        <is>
          <t>+960 689 6677</t>
        </is>
      </c>
      <c r="K7" s="11" t="inlineStr">
        <is>
          <t>Otelin kendi sitesi</t>
        </is>
      </c>
      <c r="L7" s="11" t="inlineStr">
        <is>
          <t>https://canareef.com/contact-us/</t>
        </is>
      </c>
      <c r="M7" s="11" t="inlineStr">
        <is>
          <t>Resort: Director of Engineering / Chief Engineer, General Manager; Grup: Technical Services / Sustainability Director</t>
        </is>
      </c>
      <c r="N7" s="11" t="n">
        <v>6</v>
      </c>
      <c r="O7" s="12" t="inlineStr">
        <is>
          <t>A</t>
        </is>
      </c>
      <c r="P7" s="11" t="inlineStr">
        <is>
          <t>büyük resort (yüksek dizel tüketimi); GES var ama ESS yok -&gt; en uygun ESS ilavesi hedefi</t>
        </is>
      </c>
    </row>
    <row r="8">
      <c r="A8" s="11" t="n">
        <v>7</v>
      </c>
      <c r="B8" s="11" t="inlineStr">
        <is>
          <t>Club Med Kani</t>
        </is>
      </c>
      <c r="C8" s="11" t="inlineStr">
        <is>
          <t>Kaafu (Kuzey Malé)</t>
        </is>
      </c>
      <c r="D8" s="11" t="inlineStr">
        <is>
          <t>Club Med</t>
        </is>
      </c>
      <c r="E8" s="11" t="n">
        <v>250</v>
      </c>
      <c r="F8" s="11" t="inlineStr">
        <is>
          <t>Dizel ağırlıklı (kamuya açık GES bilgisi yok)</t>
        </is>
      </c>
      <c r="G8" s="11" t="inlineStr">
        <is>
          <t>—</t>
        </is>
      </c>
      <c r="H8" s="11" t="inlineStr">
        <is>
          <t>clubmed.com</t>
        </is>
      </c>
      <c r="I8" s="11" t="inlineStr">
        <is>
          <t>—</t>
        </is>
      </c>
      <c r="J8" s="11" t="inlineStr">
        <is>
          <t>+960 664 3152</t>
        </is>
      </c>
      <c r="K8" s="11" t="inlineStr">
        <is>
          <t>E-posta sayfada gizlenmiş; Club Med merkezi üzerinden</t>
        </is>
      </c>
      <c r="L8" s="11" t="inlineStr">
        <is>
          <t>https://www.hotelcontact.net/club-med-kani-maldives-north-male-en.html</t>
        </is>
      </c>
      <c r="M8" s="11" t="inlineStr">
        <is>
          <t>Resort: Director of Engineering / Chief Engineer, General Manager; Grup: Technical Services / Sustainability Director</t>
        </is>
      </c>
      <c r="N8" s="11" t="n">
        <v>6</v>
      </c>
      <c r="O8" s="12" t="inlineStr">
        <is>
          <t>A</t>
        </is>
      </c>
      <c r="P8" s="11" t="inlineStr">
        <is>
          <t>büyük resort (yüksek dizel tüketimi); bilinen GES yok -&gt; GES+ESS paketi; çok-resortlu grup (tek kararla birden fazla ada)</t>
        </is>
      </c>
    </row>
    <row r="9">
      <c r="A9" s="11" t="n">
        <v>8</v>
      </c>
      <c r="B9" s="11" t="inlineStr">
        <is>
          <t>Holiday Inn Resort Kandooma</t>
        </is>
      </c>
      <c r="C9" s="11" t="inlineStr">
        <is>
          <t>Kaafu (Güney Malé)</t>
        </is>
      </c>
      <c r="D9" s="11" t="inlineStr">
        <is>
          <t>IHG markası</t>
        </is>
      </c>
      <c r="E9" s="11" t="n">
        <v>160</v>
      </c>
      <c r="F9" s="11" t="inlineStr">
        <is>
          <t>Kısmi GES, ESS yok/bilinmiyor</t>
        </is>
      </c>
      <c r="G9" s="11" t="inlineStr">
        <is>
          <t>Sitede GES programı anlatılıyor</t>
        </is>
      </c>
      <c r="H9" s="11" t="inlineStr">
        <is>
          <t>maldives.holidayinnresorts.com</t>
        </is>
      </c>
      <c r="I9" s="11" t="inlineStr">
        <is>
          <t>reservations.hikandooma@ihg.com</t>
        </is>
      </c>
      <c r="J9" s="11" t="inlineStr">
        <is>
          <t>+960 664 0511</t>
        </is>
      </c>
      <c r="K9" s="11" t="inlineStr">
        <is>
          <t>Otelin kendi sitesi</t>
        </is>
      </c>
      <c r="L9" s="11" t="inlineStr">
        <is>
          <t>https://maldives.holidayinnresorts.com/contact-us/</t>
        </is>
      </c>
      <c r="M9" s="11" t="inlineStr">
        <is>
          <t>Resort: Director of Engineering / Chief Engineer, General Manager; Grup: Technical Services / Sustainability Director</t>
        </is>
      </c>
      <c r="N9" s="11" t="n">
        <v>6</v>
      </c>
      <c r="O9" s="12" t="inlineStr">
        <is>
          <t>A</t>
        </is>
      </c>
      <c r="P9" s="11" t="inlineStr">
        <is>
          <t>orta-büyük resort; GES var ama ESS yok -&gt; en uygun ESS ilavesi hedefi; çok-resortlu grup (tek kararla birden fazla ada)</t>
        </is>
      </c>
    </row>
    <row r="10">
      <c r="A10" s="11" t="n">
        <v>9</v>
      </c>
      <c r="B10" s="11" t="inlineStr">
        <is>
          <t>Kandima Maldives</t>
        </is>
      </c>
      <c r="C10" s="11" t="inlineStr">
        <is>
          <t>Dhaalu</t>
        </is>
      </c>
      <c r="D10" s="11" t="inlineStr">
        <is>
          <t>Pulse Hotels &amp; Resorts</t>
        </is>
      </c>
      <c r="E10" s="11" t="n">
        <v>266</v>
      </c>
      <c r="F10" s="11" t="inlineStr">
        <is>
          <t>Dizel ağırlıklı (kamuya açık GES bilgisi yok)</t>
        </is>
      </c>
      <c r="G10" s="11" t="inlineStr">
        <is>
          <t>—</t>
        </is>
      </c>
      <c r="H10" s="11" t="inlineStr">
        <is>
          <t>kandima.com</t>
        </is>
      </c>
      <c r="I10" s="11" t="inlineStr">
        <is>
          <t>mykindofplace@kandima.com; reservations@kandima.com</t>
        </is>
      </c>
      <c r="J10" s="11" t="inlineStr">
        <is>
          <t>+960 676 0077</t>
        </is>
      </c>
      <c r="K10" s="11" t="inlineStr">
        <is>
          <t>Otel rehberi / arama sonucu</t>
        </is>
      </c>
      <c r="L10" s="11" t="inlineStr">
        <is>
          <t>https://www.maldivesyp.com/company/638/Kandima_Maldives</t>
        </is>
      </c>
      <c r="M10" s="11" t="inlineStr">
        <is>
          <t>Resort: Director of Engineering / Chief Engineer, General Manager; Grup: Technical Services / Sustainability Director</t>
        </is>
      </c>
      <c r="N10" s="11" t="n">
        <v>6</v>
      </c>
      <c r="O10" s="12" t="inlineStr">
        <is>
          <t>A</t>
        </is>
      </c>
      <c r="P10" s="11" t="inlineStr">
        <is>
          <t>büyük resort (yüksek dizel tüketimi); bilinen GES yok -&gt; GES+ESS paketi; çok-resortlu grup (tek kararla birden fazla ada)</t>
        </is>
      </c>
    </row>
    <row r="11">
      <c r="A11" s="11" t="n">
        <v>10</v>
      </c>
      <c r="B11" s="11" t="inlineStr">
        <is>
          <t>Kuredu Island Resort</t>
        </is>
      </c>
      <c r="C11" s="11" t="inlineStr">
        <is>
          <t>Lhaviyani</t>
        </is>
      </c>
      <c r="D11" s="11" t="inlineStr">
        <is>
          <t>Crown &amp; Champa (Kuredu Holdings)</t>
        </is>
      </c>
      <c r="E11" s="11" t="n">
        <v>380</v>
      </c>
      <c r="F11" s="11" t="inlineStr">
        <is>
          <t>Dizel ağırlıklı (kamuya açık GES bilgisi yok)</t>
        </is>
      </c>
      <c r="G11" s="11" t="inlineStr">
        <is>
          <t>Ülkenin en büyük resortlarından</t>
        </is>
      </c>
      <c r="H11" s="11" t="inlineStr">
        <is>
          <t>kuredu.com</t>
        </is>
      </c>
      <c r="I11" s="11" t="inlineStr">
        <is>
          <t>—</t>
        </is>
      </c>
      <c r="J11" s="11" t="inlineStr">
        <is>
          <t>+960 662 0337</t>
        </is>
      </c>
      <c r="K11" s="11" t="inlineStr">
        <is>
          <t>Otelin kendi sitesi; e-posta sayfada gizlenmiş. NOT: Crown &amp; Champa sitesinde listeleniyor</t>
        </is>
      </c>
      <c r="L11" s="11" t="inlineStr">
        <is>
          <t>https://www.kuredu.com/contact-us/</t>
        </is>
      </c>
      <c r="M11" s="11" t="inlineStr">
        <is>
          <t>Resort: Director of Engineering / Chief Engineer, General Manager; Grup: Technical Services / Sustainability Director</t>
        </is>
      </c>
      <c r="N11" s="11" t="n">
        <v>6</v>
      </c>
      <c r="O11" s="12" t="inlineStr">
        <is>
          <t>A</t>
        </is>
      </c>
      <c r="P11" s="11" t="inlineStr">
        <is>
          <t>büyük resort (yüksek dizel tüketimi); bilinen GES yok -&gt; GES+ESS paketi; çok-resortlu grup (tek kararla birden fazla ada)</t>
        </is>
      </c>
    </row>
    <row r="12">
      <c r="A12" s="11" t="n">
        <v>11</v>
      </c>
      <c r="B12" s="11" t="inlineStr">
        <is>
          <t>LUX* South Ari Atoll</t>
        </is>
      </c>
      <c r="C12" s="11" t="inlineStr">
        <is>
          <t>Alif Dhaal (Güney Ari)</t>
        </is>
      </c>
      <c r="D12" s="11" t="inlineStr">
        <is>
          <t>LUX* / The Lux Collective</t>
        </is>
      </c>
      <c r="E12" s="11" t="n">
        <v>190</v>
      </c>
      <c r="F12" s="11" t="inlineStr">
        <is>
          <t>Kısmi GES, ESS yok/bilinmiyor</t>
        </is>
      </c>
      <c r="G12" s="11" t="inlineStr">
        <is>
          <t>Swimsol SolarSea yüzer GES</t>
        </is>
      </c>
      <c r="H12" s="11" t="inlineStr">
        <is>
          <t>luxresorts.com</t>
        </is>
      </c>
      <c r="I12" s="11" t="inlineStr">
        <is>
          <t>stay@luxmaldivesresort.com</t>
        </is>
      </c>
      <c r="J12" s="11" t="inlineStr">
        <is>
          <t>+960 668 0901</t>
        </is>
      </c>
      <c r="K12" s="11" t="inlineStr">
        <is>
          <t>Otelin kendi sitesi</t>
        </is>
      </c>
      <c r="L12" s="11" t="inlineStr">
        <is>
          <t>https://www.luxresorts.com/en/maldives/resort/luxsouthariatoll/contact-us</t>
        </is>
      </c>
      <c r="M12" s="11" t="inlineStr">
        <is>
          <t>Resort: Director of Engineering / Chief Engineer, General Manager; Grup: Technical Services / Sustainability Director</t>
        </is>
      </c>
      <c r="N12" s="11" t="n">
        <v>6</v>
      </c>
      <c r="O12" s="12" t="inlineStr">
        <is>
          <t>A</t>
        </is>
      </c>
      <c r="P12" s="11" t="inlineStr">
        <is>
          <t>orta-büyük resort; GES var ama ESS yok -&gt; en uygun ESS ilavesi hedefi; çok-resortlu grup (tek kararla birden fazla ada)</t>
        </is>
      </c>
    </row>
    <row r="13">
      <c r="A13" s="11" t="n">
        <v>12</v>
      </c>
      <c r="B13" s="11" t="inlineStr">
        <is>
          <t>Mandarin Oriental Bolidhuffaru Reef</t>
        </is>
      </c>
      <c r="C13" s="11" t="inlineStr">
        <is>
          <t>Kaafu (Güney Malé)</t>
        </is>
      </c>
      <c r="D13" s="11" t="inlineStr">
        <is>
          <t>Mandarin Oriental</t>
        </is>
      </c>
      <c r="E13" s="11" t="n">
        <v>120</v>
      </c>
      <c r="F13" s="11" t="inlineStr">
        <is>
          <t>Yeni proje – enerji sistemi tasarım aşamasında</t>
        </is>
      </c>
      <c r="G13" s="11" t="inlineStr">
        <is>
          <t>~2026 açılış hedefi</t>
        </is>
      </c>
      <c r="H13" s="11" t="inlineStr">
        <is>
          <t>mandarinoriental.com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Web sitesindeki 'Contact' sayfası (genel e-posta/telefon buradan teyit edilmeli)</t>
        </is>
      </c>
      <c r="L13" s="11" t="inlineStr">
        <is>
          <t>—</t>
        </is>
      </c>
      <c r="M13" s="11" t="inlineStr">
        <is>
          <t>Resort: Director of Engineering / Chief Engineer, General Manager; Grup: Technical Services / Sustainability Director</t>
        </is>
      </c>
      <c r="N13" s="11" t="n">
        <v>6</v>
      </c>
      <c r="O13" s="12" t="inlineStr">
        <is>
          <t>A</t>
        </is>
      </c>
      <c r="P13" s="11" t="inlineStr">
        <is>
          <t>orta-büyük resort; yeni proje -&gt; tasarım aşamasında girilebilir; çok-resortlu grup (tek kararla birden fazla ada)</t>
        </is>
      </c>
    </row>
    <row r="14">
      <c r="A14" s="11" t="n">
        <v>13</v>
      </c>
      <c r="B14" s="11" t="inlineStr">
        <is>
          <t>One&amp;Only Reethi Rah</t>
        </is>
      </c>
      <c r="C14" s="11" t="inlineStr">
        <is>
          <t>Kaafu (Kuzey Malé)</t>
        </is>
      </c>
      <c r="D14" s="11" t="inlineStr">
        <is>
          <t>Kerzner</t>
        </is>
      </c>
      <c r="E14" s="11" t="n">
        <v>128</v>
      </c>
      <c r="F14" s="11" t="inlineStr">
        <is>
          <t>Kısmi GES, ESS yok/bilinmiyor</t>
        </is>
      </c>
      <c r="G14" s="11" t="inlineStr">
        <is>
          <t>Swimsol müşterisi</t>
        </is>
      </c>
      <c r="H14" s="11" t="inlineStr">
        <is>
          <t>oneandonlyresorts.com</t>
        </is>
      </c>
      <c r="I14" s="11" t="inlineStr">
        <is>
          <t>reservations@oneandonlyreethirah.com (düşük güven)</t>
        </is>
      </c>
      <c r="J14" s="11" t="inlineStr">
        <is>
          <t>+960 664 8800</t>
        </is>
      </c>
      <c r="K14" s="11" t="inlineStr">
        <is>
          <t>Üçüncü taraf site – doğrulanmalı</t>
        </is>
      </c>
      <c r="L14" s="11" t="inlineStr">
        <is>
          <t>https://www.travelweekly.com/Hotels/Male-Maldives/OneOnly-Reethi-Rah-p58629322</t>
        </is>
      </c>
      <c r="M14" s="11" t="inlineStr">
        <is>
          <t>Resort: Director of Engineering / Chief Engineer, General Manager; Grup: Technical Services / Sustainability Director</t>
        </is>
      </c>
      <c r="N14" s="11" t="n">
        <v>6</v>
      </c>
      <c r="O14" s="12" t="inlineStr">
        <is>
          <t>A</t>
        </is>
      </c>
      <c r="P14" s="11" t="inlineStr">
        <is>
          <t>orta-büyük resort; GES var ama ESS yok -&gt; en uygun ESS ilavesi hedefi; çok-resortlu grup (tek kararla birden fazla ada)</t>
        </is>
      </c>
    </row>
    <row r="15">
      <c r="A15" s="11" t="n">
        <v>14</v>
      </c>
      <c r="B15" s="11" t="inlineStr">
        <is>
          <t>Paradise Island Resort</t>
        </is>
      </c>
      <c r="C15" s="11" t="inlineStr">
        <is>
          <t>Kaafu (Kuzey Malé)</t>
        </is>
      </c>
      <c r="D15" s="11" t="inlineStr">
        <is>
          <t>Villa Hotels &amp; Resorts</t>
        </is>
      </c>
      <c r="E15" s="11" t="n">
        <v>280</v>
      </c>
      <c r="F15" s="11" t="inlineStr">
        <is>
          <t>Dizel ağırlıklı (kamuya açık GES bilgisi yok)</t>
        </is>
      </c>
      <c r="G15" s="11" t="inlineStr">
        <is>
          <t>Yeni adı Villa Nautica</t>
        </is>
      </c>
      <c r="H15" s="11" t="inlineStr">
        <is>
          <t>villaresorts.com</t>
        </is>
      </c>
      <c r="I15" s="11" t="inlineStr">
        <is>
          <t>nautica@villaresorts.com; hello@villaresorts.com</t>
        </is>
      </c>
      <c r="J15" s="11" t="inlineStr">
        <is>
          <t>+960 664 0011</t>
        </is>
      </c>
      <c r="K15" s="11" t="inlineStr">
        <is>
          <t>Otelin kendi sitesi. NOT: Yeni adı 'Villa Nautica' (Villa Resorts)</t>
        </is>
      </c>
      <c r="L15" s="11" t="inlineStr">
        <is>
          <t>https://villaresorts.com/villa-nautica/contact/</t>
        </is>
      </c>
      <c r="M15" s="11" t="inlineStr">
        <is>
          <t>Resort: Director of Engineering / Chief Engineer, General Manager; Grup: Technical Services / Sustainability Director</t>
        </is>
      </c>
      <c r="N15" s="11" t="n">
        <v>6</v>
      </c>
      <c r="O15" s="12" t="inlineStr">
        <is>
          <t>A</t>
        </is>
      </c>
      <c r="P15" s="11" t="inlineStr">
        <is>
          <t>büyük resort (yüksek dizel tüketimi); bilinen GES yok -&gt; GES+ESS paketi; çok-resortlu grup (tek kararla birden fazla ada)</t>
        </is>
      </c>
    </row>
    <row r="16">
      <c r="A16" s="11" t="n">
        <v>15</v>
      </c>
      <c r="B16" s="11" t="inlineStr">
        <is>
          <t>Waldorf Astoria Ithaafushi</t>
        </is>
      </c>
      <c r="C16" s="11" t="inlineStr">
        <is>
          <t>Kaafu (Güney Malé)</t>
        </is>
      </c>
      <c r="D16" s="11" t="inlineStr">
        <is>
          <t>Hilton markası</t>
        </is>
      </c>
      <c r="E16" s="11" t="n">
        <v>120</v>
      </c>
      <c r="F16" s="11" t="inlineStr">
        <is>
          <t>Kısmi GES, ESS yok/bilinmiyor</t>
        </is>
      </c>
      <c r="G16" s="11" t="inlineStr">
        <is>
          <t>Swimsol müşterisi</t>
        </is>
      </c>
      <c r="H16" s="11" t="inlineStr">
        <is>
          <t>hilton.com</t>
        </is>
      </c>
      <c r="I16" s="11" t="inlineStr">
        <is>
          <t>MLEON.hotel@waldorfastoria.com</t>
        </is>
      </c>
      <c r="J16" s="11" t="inlineStr">
        <is>
          <t>+960 400 0300</t>
        </is>
      </c>
      <c r="K16" s="11" t="inlineStr">
        <is>
          <t>Otelin kendi sitesi</t>
        </is>
      </c>
      <c r="L16" s="11" t="inlineStr">
        <is>
          <t>https://www.waldorfastoriamaldives.com/contact/</t>
        </is>
      </c>
      <c r="M16" s="11" t="inlineStr">
        <is>
          <t>Resort: Director of Engineering / Chief Engineer, General Manager; Grup: Technical Services / Sustainability Director</t>
        </is>
      </c>
      <c r="N16" s="11" t="n">
        <v>6</v>
      </c>
      <c r="O16" s="12" t="inlineStr">
        <is>
          <t>A</t>
        </is>
      </c>
      <c r="P16" s="11" t="inlineStr">
        <is>
          <t>orta-büyük resort; GES var ama ESS yok -&gt; en uygun ESS ilavesi hedefi; çok-resortlu grup (tek kararla birden fazla ada)</t>
        </is>
      </c>
    </row>
    <row r="17">
      <c r="A17" s="11" t="n">
        <v>16</v>
      </c>
      <c r="B17" s="11" t="inlineStr">
        <is>
          <t>Adaaran Club Rannalhi</t>
        </is>
      </c>
      <c r="C17" s="11" t="inlineStr">
        <is>
          <t>Kaafu (Güney Malé)</t>
        </is>
      </c>
      <c r="D17" s="11" t="inlineStr">
        <is>
          <t>Aitken Spence (Adaaran)</t>
        </is>
      </c>
      <c r="E17" s="11" t="n">
        <v>130</v>
      </c>
      <c r="F17" s="11" t="inlineStr">
        <is>
          <t>Dizel ağırlıklı (kamuya açık GES bilgisi yok)</t>
        </is>
      </c>
      <c r="G17" s="11" t="inlineStr">
        <is>
          <t>—</t>
        </is>
      </c>
      <c r="H17" s="11" t="inlineStr">
        <is>
          <t>adaaran.com</t>
        </is>
      </c>
      <c r="I17" s="11" t="inlineStr">
        <is>
          <t>res.acr@adaaran.com.mv</t>
        </is>
      </c>
      <c r="J17" s="11" t="inlineStr">
        <is>
          <t>+960 664 2688</t>
        </is>
      </c>
      <c r="K17" s="11" t="inlineStr">
        <is>
          <t>Otelin kendi sitesi (iletişim sayfası)</t>
        </is>
      </c>
      <c r="L17" s="11" t="inlineStr">
        <is>
          <t>https://www.adaaran.com/clubrannalhi/contact-us/</t>
        </is>
      </c>
      <c r="M17" s="11" t="inlineStr">
        <is>
          <t>Resort: Director of Engineering / Chief Engineer, General Manager; Grup: Technical Services / Sustainability Director</t>
        </is>
      </c>
      <c r="N17" s="11" t="n">
        <v>5</v>
      </c>
      <c r="O17" s="13" t="inlineStr">
        <is>
          <t>B</t>
        </is>
      </c>
      <c r="P17" s="11" t="inlineStr">
        <is>
          <t>orta-büyük resort; bilinen GES yok -&gt; GES+ESS paketi; çok-resortlu grup (tek kararla birden fazla ada)</t>
        </is>
      </c>
    </row>
    <row r="18">
      <c r="A18" s="11" t="n">
        <v>17</v>
      </c>
      <c r="B18" s="11" t="inlineStr">
        <is>
          <t>Adaaran Select Hudhuranfushi</t>
        </is>
      </c>
      <c r="C18" s="11" t="inlineStr">
        <is>
          <t>Kaafu (Kuzey Malé)</t>
        </is>
      </c>
      <c r="D18" s="11" t="inlineStr">
        <is>
          <t>Aitken Spence (Adaaran)</t>
        </is>
      </c>
      <c r="E18" s="11" t="n">
        <v>210</v>
      </c>
      <c r="F18" s="11" t="inlineStr">
        <is>
          <t>Dizel ağırlıklı (kamuya açık GES bilgisi yok)</t>
        </is>
      </c>
      <c r="G18" s="11" t="inlineStr">
        <is>
          <t>—</t>
        </is>
      </c>
      <c r="H18" s="11" t="inlineStr">
        <is>
          <t>adaaran.com</t>
        </is>
      </c>
      <c r="I18" s="11" t="inlineStr">
        <is>
          <t>res.hrf@adaaran.com.mv</t>
        </is>
      </c>
      <c r="J18" s="11" t="inlineStr">
        <is>
          <t>+960 664 0375</t>
        </is>
      </c>
      <c r="K18" s="11" t="inlineStr">
        <is>
          <t>Otelin kendi sitesi (iletişim sayfası)</t>
        </is>
      </c>
      <c r="L18" s="11" t="inlineStr">
        <is>
          <t>https://www.adaaran.com/selecthudhuranfushi/contact-us/</t>
        </is>
      </c>
      <c r="M18" s="11" t="inlineStr">
        <is>
          <t>Resort: Director of Engineering / Chief Engineer, General Manager; Grup: Technical Services / Sustainability Director</t>
        </is>
      </c>
      <c r="N18" s="11" t="n">
        <v>5</v>
      </c>
      <c r="O18" s="13" t="inlineStr">
        <is>
          <t>B</t>
        </is>
      </c>
      <c r="P18" s="11" t="inlineStr">
        <is>
          <t>orta-büyük resort; bilinen GES yok -&gt; GES+ESS paketi; çok-resortlu grup (tek kararla birden fazla ada)</t>
        </is>
      </c>
    </row>
    <row r="19">
      <c r="A19" s="11" t="n">
        <v>18</v>
      </c>
      <c r="B19" s="11" t="inlineStr">
        <is>
          <t>Aman Maldives</t>
        </is>
      </c>
      <c r="C19" s="11" t="inlineStr">
        <is>
          <t>Vaavu</t>
        </is>
      </c>
      <c r="D19" s="11" t="inlineStr">
        <is>
          <t>Aman</t>
        </is>
      </c>
      <c r="E19" s="11" t="inlineStr">
        <is>
          <t>Doğrulanmalı</t>
        </is>
      </c>
      <c r="F19" s="11" t="inlineStr">
        <is>
          <t>Yeni proje – enerji sistemi tasarım aşamasında</t>
        </is>
      </c>
      <c r="G19" s="11" t="inlineStr">
        <is>
          <t>2027 hedef, tarih belirsiz</t>
        </is>
      </c>
      <c r="H19" s="11" t="inlineStr">
        <is>
          <t>aman.com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Web sitesindeki 'Contact' sayfası (genel e-posta/telefon buradan teyit edilmeli)</t>
        </is>
      </c>
      <c r="L19" s="11" t="inlineStr">
        <is>
          <t>—</t>
        </is>
      </c>
      <c r="M19" s="11" t="inlineStr">
        <is>
          <t>Resort: Director of Engineering / Chief Engineer, General Manager; Grup: Technical Services / Sustainability Director</t>
        </is>
      </c>
      <c r="N19" s="11" t="n">
        <v>5</v>
      </c>
      <c r="O19" s="13" t="inlineStr">
        <is>
          <t>B</t>
        </is>
      </c>
      <c r="P19" s="11" t="inlineStr">
        <is>
          <t>oda sayısı doğrulanmalı; yeni proje -&gt; tasarım aşamasında girilebilir; çok-resortlu grup (tek kararla birden fazla ada)</t>
        </is>
      </c>
    </row>
    <row r="20">
      <c r="A20" s="11" t="n">
        <v>19</v>
      </c>
      <c r="B20" s="11" t="inlineStr">
        <is>
          <t>Amaraa Faru (yeni)</t>
        </is>
      </c>
      <c r="C20" s="11" t="inlineStr">
        <is>
          <t>Doğrulanmalı</t>
        </is>
      </c>
      <c r="D20" s="11" t="inlineStr">
        <is>
          <t>Atmosphere Core</t>
        </is>
      </c>
      <c r="E20" s="11" t="inlineStr">
        <is>
          <t>Doğrulanmalı</t>
        </is>
      </c>
      <c r="F20" s="11" t="inlineStr">
        <is>
          <t>Yeni proje – enerji sistemi tasarım aşamasında</t>
        </is>
      </c>
      <c r="G20" s="11" t="inlineStr">
        <is>
          <t>2027 açılış; GES planlandığı açıklandı</t>
        </is>
      </c>
      <c r="H20" s="11" t="inlineStr">
        <is>
          <t>atmospherecore.com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Web sitesindeki 'Contact' sayfası (genel e-posta/telefon buradan teyit edilmeli)</t>
        </is>
      </c>
      <c r="L20" s="11" t="inlineStr">
        <is>
          <t>—</t>
        </is>
      </c>
      <c r="M20" s="11" t="inlineStr">
        <is>
          <t>Resort: Director of Engineering / Chief Engineer, General Manager; Grup: Technical Services / Sustainability Director</t>
        </is>
      </c>
      <c r="N20" s="11" t="n">
        <v>5</v>
      </c>
      <c r="O20" s="13" t="inlineStr">
        <is>
          <t>B</t>
        </is>
      </c>
      <c r="P20" s="11" t="inlineStr">
        <is>
          <t>oda sayısı doğrulanmalı; yeni proje -&gt; tasarım aşamasında girilebilir; çok-resortlu grup (tek kararla birden fazla ada)</t>
        </is>
      </c>
    </row>
    <row r="21">
      <c r="A21" s="11" t="n">
        <v>20</v>
      </c>
      <c r="B21" s="11" t="inlineStr">
        <is>
          <t>Bandos Maldives</t>
        </is>
      </c>
      <c r="C21" s="11" t="inlineStr">
        <is>
          <t>Kaafu (Kuzey Malé)</t>
        </is>
      </c>
      <c r="D21" s="11" t="inlineStr">
        <is>
          <t>Bağımsız (Maldivli)</t>
        </is>
      </c>
      <c r="E21" s="11" t="n">
        <v>250</v>
      </c>
      <c r="F21" s="11" t="inlineStr">
        <is>
          <t>Dizel ağırlıklı (kamuya açık GES bilgisi yok)</t>
        </is>
      </c>
      <c r="G21" s="11" t="inlineStr">
        <is>
          <t>—</t>
        </is>
      </c>
      <c r="H21" s="11" t="inlineStr">
        <is>
          <t>bandosmaldives.com</t>
        </is>
      </c>
      <c r="I21" s="11" t="inlineStr">
        <is>
          <t>—</t>
        </is>
      </c>
      <c r="J21" s="11" t="inlineStr">
        <is>
          <t>+960 664 0088</t>
        </is>
      </c>
      <c r="K21" s="11" t="inlineStr">
        <is>
          <t>Otelin kendi sitesi; e-posta sayfada gizlenmiş</t>
        </is>
      </c>
      <c r="L21" s="11" t="inlineStr">
        <is>
          <t>https://bandosmaldives.com/contact-us/</t>
        </is>
      </c>
      <c r="M21" s="11" t="inlineStr">
        <is>
          <t>Resort: Director of Engineering / Chief Engineer, General Manager; Grup: Technical Services / Sustainability Director</t>
        </is>
      </c>
      <c r="N21" s="11" t="n">
        <v>5</v>
      </c>
      <c r="O21" s="13" t="inlineStr">
        <is>
          <t>B</t>
        </is>
      </c>
      <c r="P21" s="11" t="inlineStr">
        <is>
          <t>büyük resort (yüksek dizel tüketimi); bilinen GES yok -&gt; GES+ESS paketi</t>
        </is>
      </c>
    </row>
    <row r="22">
      <c r="A22" s="11" t="n">
        <v>21</v>
      </c>
      <c r="B22" s="11" t="inlineStr">
        <is>
          <t>Bvlgari Resort Ranfushi</t>
        </is>
      </c>
      <c r="C22" s="11" t="inlineStr">
        <is>
          <t>Raa</t>
        </is>
      </c>
      <c r="D22" s="11" t="inlineStr">
        <is>
          <t>Bvlgari (Marriott)</t>
        </is>
      </c>
      <c r="E22" s="11" t="n">
        <v>54</v>
      </c>
      <c r="F22" s="11" t="inlineStr">
        <is>
          <t>Yeni proje – enerji sistemi tasarım aşamasında</t>
        </is>
      </c>
      <c r="G22" s="11" t="inlineStr">
        <is>
          <t>~2027 açılış</t>
        </is>
      </c>
      <c r="H22" s="11" t="inlineStr">
        <is>
          <t>bulgarihotels.com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Web sitesindeki 'Contact' sayfası (genel e-posta/telefon buradan teyit edilmeli)</t>
        </is>
      </c>
      <c r="L22" s="11" t="inlineStr">
        <is>
          <t>—</t>
        </is>
      </c>
      <c r="M22" s="11" t="inlineStr">
        <is>
          <t>Resort: Director of Engineering / Chief Engineer, General Manager; Grup: Technical Services / Sustainability Director</t>
        </is>
      </c>
      <c r="N22" s="11" t="n">
        <v>5</v>
      </c>
      <c r="O22" s="13" t="inlineStr">
        <is>
          <t>B</t>
        </is>
      </c>
      <c r="P22" s="11" t="inlineStr">
        <is>
          <t>küçük/butik resort; yeni proje -&gt; tasarım aşamasında girilebilir; çok-resortlu grup (tek kararla birden fazla ada)</t>
        </is>
      </c>
    </row>
    <row r="23">
      <c r="A23" s="11" t="n">
        <v>22</v>
      </c>
      <c r="B23" s="11" t="inlineStr">
        <is>
          <t>Capella Maldives (Fari Islands)</t>
        </is>
      </c>
      <c r="C23" s="11" t="inlineStr">
        <is>
          <t>Kaafu (Kuzey Malé)</t>
        </is>
      </c>
      <c r="D23" s="11" t="inlineStr">
        <is>
          <t>Pontiac Land</t>
        </is>
      </c>
      <c r="E23" s="11" t="inlineStr">
        <is>
          <t>Doğrulanmalı</t>
        </is>
      </c>
      <c r="F23" s="11" t="inlineStr">
        <is>
          <t>Yeni proje – enerji sistemi tasarım aşamasında</t>
        </is>
      </c>
      <c r="G23" s="11" t="inlineStr">
        <is>
          <t>2027 hedef; Fari mikro şebekesine bağlanabilir</t>
        </is>
      </c>
      <c r="H23" s="11" t="inlineStr">
        <is>
          <t>capellahotels.com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Web sitesindeki 'Contact' sayfası (genel e-posta/telefon buradan teyit edilmeli)</t>
        </is>
      </c>
      <c r="L23" s="11" t="inlineStr">
        <is>
          <t>—</t>
        </is>
      </c>
      <c r="M23" s="11" t="inlineStr">
        <is>
          <t>Resort: Director of Engineering / Chief Engineer, General Manager; Grup: Technical Services / Sustainability Director</t>
        </is>
      </c>
      <c r="N23" s="11" t="n">
        <v>5</v>
      </c>
      <c r="O23" s="13" t="inlineStr">
        <is>
          <t>B</t>
        </is>
      </c>
      <c r="P23" s="11" t="inlineStr">
        <is>
          <t>oda sayısı doğrulanmalı; yeni proje -&gt; tasarım aşamasında girilebilir; çok-resortlu grup (tek kararla birden fazla ada)</t>
        </is>
      </c>
    </row>
    <row r="24">
      <c r="A24" s="11" t="n">
        <v>23</v>
      </c>
      <c r="B24" s="11" t="inlineStr">
        <is>
          <t>Centara Grand Island Resort</t>
        </is>
      </c>
      <c r="C24" s="11" t="inlineStr">
        <is>
          <t>Alif Dhaal (Güney Ari)</t>
        </is>
      </c>
      <c r="D24" s="11" t="inlineStr">
        <is>
          <t>Centara Hotels</t>
        </is>
      </c>
      <c r="E24" s="11" t="n">
        <v>112</v>
      </c>
      <c r="F24" s="11" t="inlineStr">
        <is>
          <t>Kısmi GES, ESS yok/bilinmiyor</t>
        </is>
      </c>
      <c r="G24" s="11" t="inlineStr">
        <is>
          <t>Yeni adı Machchafushi Island Resort (Centara Collection); tüm çatılarda GES</t>
        </is>
      </c>
      <c r="H24" s="11" t="inlineStr">
        <is>
          <t>centarahotelsresorts.com</t>
        </is>
      </c>
      <c r="I24" s="11" t="inlineStr">
        <is>
          <t>—</t>
        </is>
      </c>
      <c r="J24" s="11" t="inlineStr">
        <is>
          <t>+960 668 8000</t>
        </is>
      </c>
      <c r="K24" s="11" t="inlineStr">
        <is>
          <t>NOT: Yeni adı 'Machchafushi Island Resort &amp; Spa, The Centara Collection'; e-posta sayfada gizlenmiş</t>
        </is>
      </c>
      <c r="L24" s="11" t="inlineStr">
        <is>
          <t>https://www.centarahotelsresorts.com/centaragrand/cirm/contact/</t>
        </is>
      </c>
      <c r="M24" s="11" t="inlineStr">
        <is>
          <t>Resort: Director of Engineering / Chief Engineer, General Manager; Grup: Technical Services / Sustainability Director</t>
        </is>
      </c>
      <c r="N24" s="11" t="n">
        <v>5</v>
      </c>
      <c r="O24" s="13" t="inlineStr">
        <is>
          <t>B</t>
        </is>
      </c>
      <c r="P24" s="11" t="inlineStr">
        <is>
          <t>küçük/butik resort; GES var ama ESS yok -&gt; en uygun ESS ilavesi hedefi; çok-resortlu grup (tek kararla birden fazla ada)</t>
        </is>
      </c>
    </row>
    <row r="25">
      <c r="A25" s="11" t="n">
        <v>24</v>
      </c>
      <c r="B25" s="11" t="inlineStr">
        <is>
          <t>Centara Ras Fushi</t>
        </is>
      </c>
      <c r="C25" s="11" t="inlineStr">
        <is>
          <t>Kaafu (Kuzey Malé)</t>
        </is>
      </c>
      <c r="D25" s="11" t="inlineStr">
        <is>
          <t>Centara Hotels</t>
        </is>
      </c>
      <c r="E25" s="11" t="n">
        <v>140</v>
      </c>
      <c r="F25" s="11" t="inlineStr">
        <is>
          <t>Dizel ağırlıklı (kamuya açık GES bilgisi yok)</t>
        </is>
      </c>
      <c r="G25" s="11" t="inlineStr">
        <is>
          <t>—</t>
        </is>
      </c>
      <c r="H25" s="11" t="inlineStr">
        <is>
          <t>centarahotelsresorts.com</t>
        </is>
      </c>
      <c r="I25" s="11" t="inlineStr">
        <is>
          <t>crf@chr.co.th</t>
        </is>
      </c>
      <c r="J25" s="11" t="inlineStr">
        <is>
          <t>+960 664 3880</t>
        </is>
      </c>
      <c r="K25" s="11" t="inlineStr">
        <is>
          <t>Otelin kendi sitesi</t>
        </is>
      </c>
      <c r="L25" s="11" t="inlineStr">
        <is>
          <t>https://www.centarahotelsresorts.com/centara/CRF/contact</t>
        </is>
      </c>
      <c r="M25" s="11" t="inlineStr">
        <is>
          <t>Resort: Director of Engineering / Chief Engineer, General Manager; Grup: Technical Services / Sustainability Director</t>
        </is>
      </c>
      <c r="N25" s="11" t="n">
        <v>5</v>
      </c>
      <c r="O25" s="13" t="inlineStr">
        <is>
          <t>B</t>
        </is>
      </c>
      <c r="P25" s="11" t="inlineStr">
        <is>
          <t>orta-büyük resort; bilinen GES yok -&gt; GES+ESS paketi; çok-resortlu grup (tek kararla birden fazla ada)</t>
        </is>
      </c>
    </row>
    <row r="26">
      <c r="A26" s="11" t="n">
        <v>25</v>
      </c>
      <c r="B26" s="11" t="inlineStr">
        <is>
          <t>Cinnamon Dhonveli</t>
        </is>
      </c>
      <c r="C26" s="11" t="inlineStr">
        <is>
          <t>Kaafu (Kuzey Malé)</t>
        </is>
      </c>
      <c r="D26" s="11" t="inlineStr">
        <is>
          <t>Cinnamon Hotels (John Keells)</t>
        </is>
      </c>
      <c r="E26" s="11" t="n">
        <v>150</v>
      </c>
      <c r="F26" s="11" t="inlineStr">
        <is>
          <t>Dizel ağırlıklı (kamuya açık GES bilgisi yok)</t>
        </is>
      </c>
      <c r="G26" s="11" t="inlineStr">
        <is>
          <t>—</t>
        </is>
      </c>
      <c r="H26" s="11" t="inlineStr">
        <is>
          <t>cinnamonhotels.com</t>
        </is>
      </c>
      <c r="I26" s="11" t="inlineStr">
        <is>
          <t>dhonveli@cinnamonhotels.com; sales.mv@cinnamonhotels.com</t>
        </is>
      </c>
      <c r="J26" s="11" t="inlineStr">
        <is>
          <t>+960 664 0055</t>
        </is>
      </c>
      <c r="K26" s="11" t="inlineStr">
        <is>
          <t>Otel rehberi / otelin kendi sitesi</t>
        </is>
      </c>
      <c r="L26" s="11" t="inlineStr">
        <is>
          <t>https://www.maldivesyp.com/company/547/Cinnamon_Dhonveli_Maldives</t>
        </is>
      </c>
      <c r="M26" s="11" t="inlineStr">
        <is>
          <t>Resort: Director of Engineering / Chief Engineer, General Manager; Grup: Technical Services / Sustainability Director</t>
        </is>
      </c>
      <c r="N26" s="11" t="n">
        <v>5</v>
      </c>
      <c r="O26" s="13" t="inlineStr">
        <is>
          <t>B</t>
        </is>
      </c>
      <c r="P26" s="11" t="inlineStr">
        <is>
          <t>orta-büyük resort; bilinen GES yok -&gt; GES+ESS paketi; çok-resortlu grup (tek kararla birden fazla ada)</t>
        </is>
      </c>
    </row>
    <row r="27">
      <c r="A27" s="11" t="n">
        <v>26</v>
      </c>
      <c r="B27" s="11" t="inlineStr">
        <is>
          <t>Conrad Maldives Rangali Island</t>
        </is>
      </c>
      <c r="C27" s="11" t="inlineStr">
        <is>
          <t>Alif Dhaal (Güney Ari)</t>
        </is>
      </c>
      <c r="D27" s="11" t="inlineStr">
        <is>
          <t>Hilton markası</t>
        </is>
      </c>
      <c r="E27" s="11" t="n">
        <v>150</v>
      </c>
      <c r="F27" s="11" t="inlineStr">
        <is>
          <t>Dizel ağırlıklı (kamuya açık GES bilgisi yok)</t>
        </is>
      </c>
      <c r="G27" s="11" t="inlineStr">
        <is>
          <t>—</t>
        </is>
      </c>
      <c r="H27" s="11" t="inlineStr">
        <is>
          <t>hilton.com</t>
        </is>
      </c>
      <c r="I27" s="11" t="inlineStr">
        <is>
          <t>mlehi.maldives@conradhotels.com</t>
        </is>
      </c>
      <c r="J27" s="11" t="inlineStr">
        <is>
          <t>+960 668 0629</t>
        </is>
      </c>
      <c r="K27" s="11" t="inlineStr">
        <is>
          <t>Otelin kendi sitesi</t>
        </is>
      </c>
      <c r="L27" s="11" t="inlineStr">
        <is>
          <t>https://www.conradmaldives.com/contact/</t>
        </is>
      </c>
      <c r="M27" s="11" t="inlineStr">
        <is>
          <t>Resort: Director of Engineering / Chief Engineer, General Manager; Grup: Technical Services / Sustainability Director</t>
        </is>
      </c>
      <c r="N27" s="11" t="n">
        <v>5</v>
      </c>
      <c r="O27" s="13" t="inlineStr">
        <is>
          <t>B</t>
        </is>
      </c>
      <c r="P27" s="11" t="inlineStr">
        <is>
          <t>orta-büyük resort; bilinen GES yok -&gt; GES+ESS paketi; çok-resortlu grup (tek kararla birden fazla ada)</t>
        </is>
      </c>
    </row>
    <row r="28">
      <c r="A28" s="11" t="n">
        <v>27</v>
      </c>
      <c r="B28" s="11" t="inlineStr">
        <is>
          <t>Dhigali Maldives</t>
        </is>
      </c>
      <c r="C28" s="11" t="inlineStr">
        <is>
          <t>Raa</t>
        </is>
      </c>
      <c r="D28" s="11" t="inlineStr">
        <is>
          <t>VERSA Hospitality (Niva)</t>
        </is>
      </c>
      <c r="E28" s="11" t="n">
        <v>180</v>
      </c>
      <c r="F28" s="11" t="inlineStr">
        <is>
          <t>Dizel ağırlıklı (kamuya açık GES bilgisi yok)</t>
        </is>
      </c>
      <c r="G28" s="11" t="inlineStr">
        <is>
          <t>—</t>
        </is>
      </c>
      <c r="H28" s="11" t="inlineStr">
        <is>
          <t>nivadhigali.com</t>
        </is>
      </c>
      <c r="I28" s="11" t="inlineStr">
        <is>
          <t>—</t>
        </is>
      </c>
      <c r="J28" s="11" t="inlineStr">
        <is>
          <t>+960 658 6060</t>
        </is>
      </c>
      <c r="K28" s="11" t="inlineStr">
        <is>
          <t>NOT: 'Niva Dhigali' adıyla yeni marka/site; e-posta sayfada gizlenmiş</t>
        </is>
      </c>
      <c r="L28" s="11" t="inlineStr">
        <is>
          <t>https://www.nivadhigali.com/contact/</t>
        </is>
      </c>
      <c r="M28" s="11" t="inlineStr">
        <is>
          <t>Resort: Director of Engineering / Chief Engineer, General Manager; Grup: Technical Services / Sustainability Director</t>
        </is>
      </c>
      <c r="N28" s="11" t="n">
        <v>5</v>
      </c>
      <c r="O28" s="13" t="inlineStr">
        <is>
          <t>B</t>
        </is>
      </c>
      <c r="P28" s="11" t="inlineStr">
        <is>
          <t>orta-büyük resort; bilinen GES yok -&gt; GES+ESS paketi; çok-resortlu grup (tek kararla birden fazla ada)</t>
        </is>
      </c>
    </row>
    <row r="29">
      <c r="A29" s="11" t="n">
        <v>28</v>
      </c>
      <c r="B29" s="11" t="inlineStr">
        <is>
          <t>Four Seasons Kuda Huraa</t>
        </is>
      </c>
      <c r="C29" s="11" t="inlineStr">
        <is>
          <t>Kaafu (Kuzey Malé)</t>
        </is>
      </c>
      <c r="D29" s="11" t="inlineStr">
        <is>
          <t>Four Seasons</t>
        </is>
      </c>
      <c r="E29" s="11" t="n">
        <v>96</v>
      </c>
      <c r="F29" s="11" t="inlineStr">
        <is>
          <t>Kısmi GES, ESS yok/bilinmiyor</t>
        </is>
      </c>
      <c r="G29" s="11" t="inlineStr">
        <is>
          <t>Swimsol GES</t>
        </is>
      </c>
      <c r="H29" s="11" t="inlineStr">
        <is>
          <t>fourseasons.com/maldiveskh</t>
        </is>
      </c>
      <c r="I29" s="11" t="inlineStr">
        <is>
          <t>—</t>
        </is>
      </c>
      <c r="J29" s="11" t="inlineStr">
        <is>
          <t>+960 664 4888</t>
        </is>
      </c>
      <c r="K29" s="11" t="inlineStr">
        <is>
          <t>E-posta bulunamadı (Four Seasons merkezi formu)</t>
        </is>
      </c>
      <c r="L29" s="11" t="inlineStr">
        <is>
          <t>https://www.forbestravelguide.com/hotels/maldives-maldives/four-seasons-resort-maldives-at-kuda-huraa</t>
        </is>
      </c>
      <c r="M29" s="11" t="inlineStr">
        <is>
          <t>Resort: Director of Engineering / Chief Engineer, General Manager; Grup: Technical Services / Sustainability Director</t>
        </is>
      </c>
      <c r="N29" s="11" t="n">
        <v>5</v>
      </c>
      <c r="O29" s="13" t="inlineStr">
        <is>
          <t>B</t>
        </is>
      </c>
      <c r="P29" s="11" t="inlineStr">
        <is>
          <t>küçük/butik resort; GES var ama ESS yok -&gt; en uygun ESS ilavesi hedefi; çok-resortlu grup (tek kararla birden fazla ada)</t>
        </is>
      </c>
    </row>
    <row r="30">
      <c r="A30" s="11" t="n">
        <v>29</v>
      </c>
      <c r="B30" s="11" t="inlineStr">
        <is>
          <t>Four Seasons Landaa Giraavaru</t>
        </is>
      </c>
      <c r="C30" s="11" t="inlineStr">
        <is>
          <t>Baa</t>
        </is>
      </c>
      <c r="D30" s="11" t="inlineStr">
        <is>
          <t>Four Seasons</t>
        </is>
      </c>
      <c r="E30" s="11" t="n">
        <v>103</v>
      </c>
      <c r="F30" s="11" t="inlineStr">
        <is>
          <t>Kısmi GES, ESS yok/bilinmiyor</t>
        </is>
      </c>
      <c r="G30" s="11" t="inlineStr">
        <is>
          <t>Swimsol çatı GES (3.105 panel)</t>
        </is>
      </c>
      <c r="H30" s="11" t="inlineStr">
        <is>
          <t>fourseasons.com/maldiveslg</t>
        </is>
      </c>
      <c r="I30" s="11" t="inlineStr">
        <is>
          <t>reservations.maldives@fourseasons.com</t>
        </is>
      </c>
      <c r="J30" s="11" t="inlineStr">
        <is>
          <t>+960 660 0888</t>
        </is>
      </c>
      <c r="K30" s="11" t="inlineStr">
        <is>
          <t>Arama sonucu (Four Seasons Maldivler ortak adresi)</t>
        </is>
      </c>
      <c r="L30" s="11" t="inlineStr">
        <is>
          <t>https://www.fourseasons.com/maldiveslg/</t>
        </is>
      </c>
      <c r="M30" s="11" t="inlineStr">
        <is>
          <t>Resort: Director of Engineering / Chief Engineer, General Manager; Grup: Technical Services / Sustainability Director</t>
        </is>
      </c>
      <c r="N30" s="11" t="n">
        <v>5</v>
      </c>
      <c r="O30" s="13" t="inlineStr">
        <is>
          <t>B</t>
        </is>
      </c>
      <c r="P30" s="11" t="inlineStr">
        <is>
          <t>küçük/butik resort; GES var ama ESS yok -&gt; en uygun ESS ilavesi hedefi; çok-resortlu grup (tek kararla birden fazla ada)</t>
        </is>
      </c>
    </row>
    <row r="31">
      <c r="A31" s="11" t="n">
        <v>30</v>
      </c>
      <c r="B31" s="11" t="inlineStr">
        <is>
          <t>Hard Rock Hotel Maldives</t>
        </is>
      </c>
      <c r="C31" s="11" t="inlineStr">
        <is>
          <t>Kaafu (Güney Malé)</t>
        </is>
      </c>
      <c r="D31" s="11" t="inlineStr">
        <is>
          <t>CROSSROADS / Singha Estate</t>
        </is>
      </c>
      <c r="E31" s="11" t="n">
        <v>178</v>
      </c>
      <c r="F31" s="11" t="inlineStr">
        <is>
          <t>Dizel ağırlıklı (kamuya açık GES bilgisi yok)</t>
        </is>
      </c>
      <c r="G31" s="11" t="inlineStr">
        <is>
          <t>Entegre ada kompleksi (marina + 2 otel)</t>
        </is>
      </c>
      <c r="H31" s="11" t="inlineStr">
        <is>
          <t>hardrockhotels.com/maldives</t>
        </is>
      </c>
      <c r="I31" s="11" t="inlineStr">
        <is>
          <t>info@hrhmaldives.com</t>
        </is>
      </c>
      <c r="J31" s="11" t="inlineStr">
        <is>
          <t>+960 665 1400</t>
        </is>
      </c>
      <c r="K31" s="11" t="inlineStr">
        <is>
          <t>Otelin kendi sitesi</t>
        </is>
      </c>
      <c r="L31" s="11" t="inlineStr">
        <is>
          <t>https://hotel.hardrock.com/maldives/contact.aspx</t>
        </is>
      </c>
      <c r="M31" s="11" t="inlineStr">
        <is>
          <t>Resort: Director of Engineering / Chief Engineer, General Manager; Grup: Technical Services / Sustainability Director</t>
        </is>
      </c>
      <c r="N31" s="11" t="n">
        <v>5</v>
      </c>
      <c r="O31" s="13" t="inlineStr">
        <is>
          <t>B</t>
        </is>
      </c>
      <c r="P31" s="11" t="inlineStr">
        <is>
          <t>orta-büyük resort; bilinen GES yok -&gt; GES+ESS paketi; çok-resortlu grup (tek kararla birden fazla ada)</t>
        </is>
      </c>
    </row>
    <row r="32">
      <c r="A32" s="11" t="n">
        <v>31</v>
      </c>
      <c r="B32" s="11" t="inlineStr">
        <is>
          <t>Heritance Aarah</t>
        </is>
      </c>
      <c r="C32" s="11" t="inlineStr">
        <is>
          <t>Raa</t>
        </is>
      </c>
      <c r="D32" s="11" t="inlineStr">
        <is>
          <t>Aitken Spence (Heritance)</t>
        </is>
      </c>
      <c r="E32" s="11" t="n">
        <v>150</v>
      </c>
      <c r="F32" s="11" t="inlineStr">
        <is>
          <t>Dizel ağırlıklı (kamuya açık GES bilgisi yok)</t>
        </is>
      </c>
      <c r="G32" s="11" t="inlineStr">
        <is>
          <t>—</t>
        </is>
      </c>
      <c r="H32" s="11" t="inlineStr">
        <is>
          <t>heritancehotels.com</t>
        </is>
      </c>
      <c r="I32" s="11" t="inlineStr">
        <is>
          <t>res.aarah@heritancehotels.com</t>
        </is>
      </c>
      <c r="J32" s="11" t="inlineStr">
        <is>
          <t>+960 664 1908</t>
        </is>
      </c>
      <c r="K32" s="11" t="inlineStr">
        <is>
          <t>Otelin kendi sitesi</t>
        </is>
      </c>
      <c r="L32" s="11" t="inlineStr">
        <is>
          <t>https://www.heritancehotels.com/aarah/contact-us/</t>
        </is>
      </c>
      <c r="M32" s="11" t="inlineStr">
        <is>
          <t>Resort: Director of Engineering / Chief Engineer, General Manager; Grup: Technical Services / Sustainability Director</t>
        </is>
      </c>
      <c r="N32" s="11" t="n">
        <v>5</v>
      </c>
      <c r="O32" s="13" t="inlineStr">
        <is>
          <t>B</t>
        </is>
      </c>
      <c r="P32" s="11" t="inlineStr">
        <is>
          <t>orta-büyük resort; bilinen GES yok -&gt; GES+ESS paketi; çok-resortlu grup (tek kararla birden fazla ada)</t>
        </is>
      </c>
    </row>
    <row r="33">
      <c r="A33" s="11" t="n">
        <v>32</v>
      </c>
      <c r="B33" s="11" t="inlineStr">
        <is>
          <t>Holiday Island Resort</t>
        </is>
      </c>
      <c r="C33" s="11" t="inlineStr">
        <is>
          <t>Alif Dhaal (Güney Ari)</t>
        </is>
      </c>
      <c r="D33" s="11" t="inlineStr">
        <is>
          <t>Villa Hotels &amp; Resorts</t>
        </is>
      </c>
      <c r="E33" s="11" t="n">
        <v>140</v>
      </c>
      <c r="F33" s="11" t="inlineStr">
        <is>
          <t>Dizel ağırlıklı (kamuya açık GES bilgisi yok)</t>
        </is>
      </c>
      <c r="G33" s="11" t="inlineStr">
        <is>
          <t>—</t>
        </is>
      </c>
      <c r="H33" s="11" t="inlineStr">
        <is>
          <t>villaresorts.com</t>
        </is>
      </c>
      <c r="I33" s="11" t="inlineStr">
        <is>
          <t>hello@villaresorts.com (Villa Resorts genel)</t>
        </is>
      </c>
      <c r="J33" s="11" t="inlineStr">
        <is>
          <t>—</t>
        </is>
      </c>
      <c r="K33" s="11" t="inlineStr">
        <is>
          <t>Otelin kendine ait adresi bulunamadı; Villa Resorts merkezi</t>
        </is>
      </c>
      <c r="L33" s="11" t="inlineStr">
        <is>
          <t>https://villaresorts.com/contact/</t>
        </is>
      </c>
      <c r="M33" s="11" t="inlineStr">
        <is>
          <t>Resort: Director of Engineering / Chief Engineer, General Manager; Grup: Technical Services / Sustainability Director</t>
        </is>
      </c>
      <c r="N33" s="11" t="n">
        <v>5</v>
      </c>
      <c r="O33" s="13" t="inlineStr">
        <is>
          <t>B</t>
        </is>
      </c>
      <c r="P33" s="11" t="inlineStr">
        <is>
          <t>orta-büyük resort; bilinen GES yok -&gt; GES+ESS paketi; çok-resortlu grup (tek kararla birden fazla ada)</t>
        </is>
      </c>
    </row>
    <row r="34">
      <c r="A34" s="11" t="n">
        <v>33</v>
      </c>
      <c r="B34" s="11" t="inlineStr">
        <is>
          <t>Hurawalhi Island Resort</t>
        </is>
      </c>
      <c r="C34" s="11" t="inlineStr">
        <is>
          <t>Lhaviyani</t>
        </is>
      </c>
      <c r="D34" s="11" t="inlineStr">
        <is>
          <t>Crown &amp; Champa Resorts</t>
        </is>
      </c>
      <c r="E34" s="11" t="n">
        <v>90</v>
      </c>
      <c r="F34" s="11" t="inlineStr">
        <is>
          <t>Kısmi GES, ESS yok/bilinmiyor</t>
        </is>
      </c>
      <c r="G34" s="11" t="inlineStr">
        <is>
          <t>Mimariye entegre GES</t>
        </is>
      </c>
      <c r="H34" s="11" t="inlineStr">
        <is>
          <t>hurawalhi.com</t>
        </is>
      </c>
      <c r="I34" s="11" t="inlineStr">
        <is>
          <t>reservations@hurawalhi.com</t>
        </is>
      </c>
      <c r="J34" s="11" t="inlineStr">
        <is>
          <t>+960 662 2000</t>
        </is>
      </c>
      <c r="K34" s="11" t="inlineStr">
        <is>
          <t>Otelin kendi sitesi</t>
        </is>
      </c>
      <c r="L34" s="11" t="inlineStr">
        <is>
          <t>https://www.hurawalhi.com/contact/</t>
        </is>
      </c>
      <c r="M34" s="11" t="inlineStr">
        <is>
          <t>Resort: Director of Engineering / Chief Engineer, General Manager; Grup: Technical Services / Sustainability Director</t>
        </is>
      </c>
      <c r="N34" s="11" t="n">
        <v>5</v>
      </c>
      <c r="O34" s="13" t="inlineStr">
        <is>
          <t>B</t>
        </is>
      </c>
      <c r="P34" s="11" t="inlineStr">
        <is>
          <t>küçük/butik resort; GES var ama ESS yok -&gt; en uygun ESS ilavesi hedefi; çok-resortlu grup (tek kararla birden fazla ada)</t>
        </is>
      </c>
    </row>
    <row r="35">
      <c r="A35" s="11" t="n">
        <v>34</v>
      </c>
      <c r="B35" s="11" t="inlineStr">
        <is>
          <t>Kurumba Maldives</t>
        </is>
      </c>
      <c r="C35" s="11" t="inlineStr">
        <is>
          <t>Kaafu (Kuzey Malé)</t>
        </is>
      </c>
      <c r="D35" s="11" t="inlineStr">
        <is>
          <t>VERSA Hospitality (Niva)</t>
        </is>
      </c>
      <c r="E35" s="11" t="n">
        <v>180</v>
      </c>
      <c r="F35" s="11" t="inlineStr">
        <is>
          <t>Dizel ağırlıklı (kamuya açık GES bilgisi yok)</t>
        </is>
      </c>
      <c r="G35" s="11" t="inlineStr">
        <is>
          <t>—</t>
        </is>
      </c>
      <c r="H35" s="11" t="inlineStr">
        <is>
          <t>kurumba.com</t>
        </is>
      </c>
      <c r="I35" s="11" t="inlineStr">
        <is>
          <t>—</t>
        </is>
      </c>
      <c r="J35" s="11" t="inlineStr">
        <is>
          <t>+960 664 2324</t>
        </is>
      </c>
      <c r="K35" s="11" t="inlineStr">
        <is>
          <t>Otelin kendi sitesi; e-postalar sayfada gizlenmiş</t>
        </is>
      </c>
      <c r="L35" s="11" t="inlineStr">
        <is>
          <t>https://www.kurumba.com/contact</t>
        </is>
      </c>
      <c r="M35" s="11" t="inlineStr">
        <is>
          <t>Resort: Director of Engineering / Chief Engineer, General Manager; Grup: Technical Services / Sustainability Director</t>
        </is>
      </c>
      <c r="N35" s="11" t="n">
        <v>5</v>
      </c>
      <c r="O35" s="13" t="inlineStr">
        <is>
          <t>B</t>
        </is>
      </c>
      <c r="P35" s="11" t="inlineStr">
        <is>
          <t>orta-büyük resort; bilinen GES yok -&gt; GES+ESS paketi; çok-resortlu grup (tek kararla birden fazla ada)</t>
        </is>
      </c>
    </row>
    <row r="36">
      <c r="A36" s="11" t="n">
        <v>35</v>
      </c>
      <c r="B36" s="11" t="inlineStr">
        <is>
          <t>Meeru Maldives Resort Island</t>
        </is>
      </c>
      <c r="C36" s="11" t="inlineStr">
        <is>
          <t>Kaafu (Kuzey Malé)</t>
        </is>
      </c>
      <c r="D36" s="11" t="inlineStr">
        <is>
          <t>Bağımsız (Maldivli)</t>
        </is>
      </c>
      <c r="E36" s="11" t="n">
        <v>286</v>
      </c>
      <c r="F36" s="11" t="inlineStr">
        <is>
          <t>Dizel ağırlıklı (kamuya açık GES bilgisi yok)</t>
        </is>
      </c>
      <c r="G36" s="11" t="inlineStr">
        <is>
          <t>—</t>
        </is>
      </c>
      <c r="H36" s="11" t="inlineStr">
        <is>
          <t>meeru.com</t>
        </is>
      </c>
      <c r="I36" s="11" t="inlineStr">
        <is>
          <t>reservations@meeru.com</t>
        </is>
      </c>
      <c r="J36" s="11" t="inlineStr">
        <is>
          <t>+960 664 3157</t>
        </is>
      </c>
      <c r="K36" s="11" t="inlineStr">
        <is>
          <t>Otelin kendi sitesi</t>
        </is>
      </c>
      <c r="L36" s="11" t="inlineStr">
        <is>
          <t>https://www.meeru.com/one-island-one-resort-contact-us/</t>
        </is>
      </c>
      <c r="M36" s="11" t="inlineStr">
        <is>
          <t>Resort: Director of Engineering / Chief Engineer, General Manager; Grup: Technical Services / Sustainability Director</t>
        </is>
      </c>
      <c r="N36" s="11" t="n">
        <v>5</v>
      </c>
      <c r="O36" s="13" t="inlineStr">
        <is>
          <t>B</t>
        </is>
      </c>
      <c r="P36" s="11" t="inlineStr">
        <is>
          <t>büyük resort (yüksek dizel tüketimi); bilinen GES yok -&gt; GES+ESS paketi</t>
        </is>
      </c>
    </row>
    <row r="37">
      <c r="A37" s="11" t="n">
        <v>36</v>
      </c>
      <c r="B37" s="11" t="inlineStr">
        <is>
          <t>OZEN LIFE Maadhoo</t>
        </is>
      </c>
      <c r="C37" s="11" t="inlineStr">
        <is>
          <t>Kaafu (Güney Malé)</t>
        </is>
      </c>
      <c r="D37" s="11" t="inlineStr">
        <is>
          <t>Atmosphere Core</t>
        </is>
      </c>
      <c r="E37" s="11" t="n">
        <v>90</v>
      </c>
      <c r="F37" s="11" t="inlineStr">
        <is>
          <t>Kısmi GES, ESS yok/bilinmiyor</t>
        </is>
      </c>
      <c r="G37" s="11" t="inlineStr">
        <is>
          <t>Swimsol SolarSea yüzer GES</t>
        </is>
      </c>
      <c r="H37" s="11" t="inlineStr">
        <is>
          <t>ozen-life-maadhoo.com</t>
        </is>
      </c>
      <c r="I37" s="11" t="inlineStr">
        <is>
          <t>—</t>
        </is>
      </c>
      <c r="J37" s="11" t="inlineStr">
        <is>
          <t>+960 400 2222</t>
        </is>
      </c>
      <c r="K37" s="11" t="inlineStr">
        <is>
          <t>Otelin kendi sitesi; e-posta sayfada gizlenmiş</t>
        </is>
      </c>
      <c r="L37" s="11" t="inlineStr">
        <is>
          <t>https://www.theozencollection.com/ozenlife-maadhoo/contact-us/</t>
        </is>
      </c>
      <c r="M37" s="11" t="inlineStr">
        <is>
          <t>Resort: Director of Engineering / Chief Engineer, General Manager; Grup: Technical Services / Sustainability Director</t>
        </is>
      </c>
      <c r="N37" s="11" t="n">
        <v>5</v>
      </c>
      <c r="O37" s="13" t="inlineStr">
        <is>
          <t>B</t>
        </is>
      </c>
      <c r="P37" s="11" t="inlineStr">
        <is>
          <t>küçük/butik resort; GES var ama ESS yok -&gt; en uygun ESS ilavesi hedefi; çok-resortlu grup (tek kararla birden fazla ada)</t>
        </is>
      </c>
    </row>
    <row r="38">
      <c r="A38" s="11" t="n">
        <v>37</v>
      </c>
      <c r="B38" s="11" t="inlineStr">
        <is>
          <t>OZEN Reserve Bolifushi</t>
        </is>
      </c>
      <c r="C38" s="11" t="inlineStr">
        <is>
          <t>Kaafu (Güney Malé)</t>
        </is>
      </c>
      <c r="D38" s="11" t="inlineStr">
        <is>
          <t>Atmosphere Core</t>
        </is>
      </c>
      <c r="E38" s="11" t="n">
        <v>90</v>
      </c>
      <c r="F38" s="11" t="inlineStr">
        <is>
          <t>Kısmi GES, ESS yok/bilinmiyor</t>
        </is>
      </c>
      <c r="G38" s="11" t="inlineStr">
        <is>
          <t>Grup çatı GES programı</t>
        </is>
      </c>
      <c r="H38" s="11" t="inlineStr">
        <is>
          <t>ozen-reserve-bolifushi.com</t>
        </is>
      </c>
      <c r="I38" s="11" t="inlineStr">
        <is>
          <t>—</t>
        </is>
      </c>
      <c r="J38" s="11" t="inlineStr">
        <is>
          <t>+960 664 2020</t>
        </is>
      </c>
      <c r="K38" s="11" t="inlineStr">
        <is>
          <t>Otelin kendi sitesi; e-posta sayfada gizlenmiş</t>
        </is>
      </c>
      <c r="L38" s="11" t="inlineStr">
        <is>
          <t>https://theozencollection.com/bolifushi/en/contact-us</t>
        </is>
      </c>
      <c r="M38" s="11" t="inlineStr">
        <is>
          <t>Resort: Director of Engineering / Chief Engineer, General Manager; Grup: Technical Services / Sustainability Director</t>
        </is>
      </c>
      <c r="N38" s="11" t="n">
        <v>5</v>
      </c>
      <c r="O38" s="13" t="inlineStr">
        <is>
          <t>B</t>
        </is>
      </c>
      <c r="P38" s="11" t="inlineStr">
        <is>
          <t>küçük/butik resort; GES var ama ESS yok -&gt; en uygun ESS ilavesi hedefi; çok-resortlu grup (tek kararla birden fazla ada)</t>
        </is>
      </c>
    </row>
    <row r="39">
      <c r="A39" s="11" t="n">
        <v>38</v>
      </c>
      <c r="B39" s="11" t="inlineStr">
        <is>
          <t>Robinson Maldives</t>
        </is>
      </c>
      <c r="C39" s="11" t="inlineStr">
        <is>
          <t>Gaafu Alifu</t>
        </is>
      </c>
      <c r="D39" s="11" t="inlineStr">
        <is>
          <t>TUI / Robinson</t>
        </is>
      </c>
      <c r="E39" s="11" t="n">
        <v>125</v>
      </c>
      <c r="F39" s="11" t="inlineStr">
        <is>
          <t>Dizel ağırlıklı (kamuya açık GES bilgisi yok)</t>
        </is>
      </c>
      <c r="G39" s="11" t="inlineStr">
        <is>
          <t>—</t>
        </is>
      </c>
      <c r="H39" s="11" t="inlineStr">
        <is>
          <t>robinson.com</t>
        </is>
      </c>
      <c r="I39" s="11" t="inlineStr">
        <is>
          <t>maldives@robinson.com</t>
        </is>
      </c>
      <c r="J39" s="11" t="inlineStr">
        <is>
          <t>+960 682 0000</t>
        </is>
      </c>
      <c r="K39" s="11" t="inlineStr">
        <is>
          <t>Otelin kendi sitesi / arama sonucu</t>
        </is>
      </c>
      <c r="L39" s="11" t="inlineStr">
        <is>
          <t>https://www.robinson.com/en/en/resort-holiday/maldives/maldives/club-details/</t>
        </is>
      </c>
      <c r="M39" s="11" t="inlineStr">
        <is>
          <t>Resort: Director of Engineering / Chief Engineer, General Manager; Grup: Technical Services / Sustainability Director</t>
        </is>
      </c>
      <c r="N39" s="11" t="n">
        <v>5</v>
      </c>
      <c r="O39" s="13" t="inlineStr">
        <is>
          <t>B</t>
        </is>
      </c>
      <c r="P39" s="11" t="inlineStr">
        <is>
          <t>orta-büyük resort; bilinen GES yok -&gt; GES+ESS paketi; çok-resortlu grup (tek kararla birden fazla ada)</t>
        </is>
      </c>
    </row>
    <row r="40">
      <c r="A40" s="11" t="n">
        <v>39</v>
      </c>
      <c r="B40" s="11" t="inlineStr">
        <is>
          <t>Rosewood Ranfaru</t>
        </is>
      </c>
      <c r="C40" s="11" t="inlineStr">
        <is>
          <t>Haa Alifu</t>
        </is>
      </c>
      <c r="D40" s="11" t="inlineStr">
        <is>
          <t>Rosewood</t>
        </is>
      </c>
      <c r="E40" s="11" t="inlineStr">
        <is>
          <t>Doğrulanmalı</t>
        </is>
      </c>
      <c r="F40" s="11" t="inlineStr">
        <is>
          <t>Yeni proje – enerji sistemi tasarım aşamasında</t>
        </is>
      </c>
      <c r="G40" s="11" t="inlineStr">
        <is>
          <t>GES sahası planı açıklandı</t>
        </is>
      </c>
      <c r="H40" s="11" t="inlineStr">
        <is>
          <t>rosewoodhotels.com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Web sitesindeki 'Contact' sayfası (genel e-posta/telefon buradan teyit edilmeli)</t>
        </is>
      </c>
      <c r="L40" s="11" t="inlineStr">
        <is>
          <t>—</t>
        </is>
      </c>
      <c r="M40" s="11" t="inlineStr">
        <is>
          <t>Resort: Director of Engineering / Chief Engineer, General Manager; Grup: Technical Services / Sustainability Director</t>
        </is>
      </c>
      <c r="N40" s="11" t="n">
        <v>5</v>
      </c>
      <c r="O40" s="13" t="inlineStr">
        <is>
          <t>B</t>
        </is>
      </c>
      <c r="P40" s="11" t="inlineStr">
        <is>
          <t>oda sayısı doğrulanmalı; yeni proje -&gt; tasarım aşamasında girilebilir; çok-resortlu grup (tek kararla birden fazla ada)</t>
        </is>
      </c>
    </row>
    <row r="41">
      <c r="A41" s="11" t="n">
        <v>40</v>
      </c>
      <c r="B41" s="11" t="inlineStr">
        <is>
          <t>Royal Island Resort</t>
        </is>
      </c>
      <c r="C41" s="11" t="inlineStr">
        <is>
          <t>Baa</t>
        </is>
      </c>
      <c r="D41" s="11" t="inlineStr">
        <is>
          <t>Villa Hotels &amp; Resorts</t>
        </is>
      </c>
      <c r="E41" s="11" t="n">
        <v>150</v>
      </c>
      <c r="F41" s="11" t="inlineStr">
        <is>
          <t>Dizel ağırlıklı (kamuya açık GES bilgisi yok)</t>
        </is>
      </c>
      <c r="G41" s="11" t="inlineStr">
        <is>
          <t>—</t>
        </is>
      </c>
      <c r="H41" s="11" t="inlineStr">
        <is>
          <t>villaresorts.com</t>
        </is>
      </c>
      <c r="I41" s="11" t="inlineStr">
        <is>
          <t>hello@villaresorts.com; sales@villaresorts.com</t>
        </is>
      </c>
      <c r="J41" s="11" t="inlineStr">
        <is>
          <t>+960 660 0088</t>
        </is>
      </c>
      <c r="K41" s="11" t="inlineStr">
        <is>
          <t>Otelin kendi sitesi (Villa Resorts)</t>
        </is>
      </c>
      <c r="L41" s="11" t="inlineStr">
        <is>
          <t>https://villaresorts.com/royal-island/contact/</t>
        </is>
      </c>
      <c r="M41" s="11" t="inlineStr">
        <is>
          <t>Resort: Director of Engineering / Chief Engineer, General Manager; Grup: Technical Services / Sustainability Director</t>
        </is>
      </c>
      <c r="N41" s="11" t="n">
        <v>5</v>
      </c>
      <c r="O41" s="13" t="inlineStr">
        <is>
          <t>B</t>
        </is>
      </c>
      <c r="P41" s="11" t="inlineStr">
        <is>
          <t>orta-büyük resort; bilinen GES yok -&gt; GES+ESS paketi; çok-resortlu grup (tek kararla birden fazla ada)</t>
        </is>
      </c>
    </row>
    <row r="42">
      <c r="A42" s="11" t="n">
        <v>41</v>
      </c>
      <c r="B42" s="11" t="inlineStr">
        <is>
          <t>SAii Lagoon Maldives</t>
        </is>
      </c>
      <c r="C42" s="11" t="inlineStr">
        <is>
          <t>Kaafu (Güney Malé)</t>
        </is>
      </c>
      <c r="D42" s="11" t="inlineStr">
        <is>
          <t>CROSSROADS / Singha Estate</t>
        </is>
      </c>
      <c r="E42" s="11" t="n">
        <v>180</v>
      </c>
      <c r="F42" s="11" t="inlineStr">
        <is>
          <t>Dizel ağırlıklı (kamuya açık GES bilgisi yok)</t>
        </is>
      </c>
      <c r="G42" s="11" t="inlineStr">
        <is>
          <t>Hard Rock ile aynı ada kompleksi</t>
        </is>
      </c>
      <c r="H42" s="11" t="inlineStr">
        <is>
          <t>saiihotels.com</t>
        </is>
      </c>
      <c r="I42" s="11" t="inlineStr">
        <is>
          <t>rsvn.lagoon@saiihotels.com</t>
        </is>
      </c>
      <c r="J42" s="11" t="inlineStr">
        <is>
          <t>+960 665 1300</t>
        </is>
      </c>
      <c r="K42" s="11" t="inlineStr">
        <is>
          <t>Otelin kendi sitesi</t>
        </is>
      </c>
      <c r="L42" s="11" t="inlineStr">
        <is>
          <t>https://www.saiihotels.com/lagoon-maldives/contact-us/</t>
        </is>
      </c>
      <c r="M42" s="11" t="inlineStr">
        <is>
          <t>Resort: Director of Engineering / Chief Engineer, General Manager; Grup: Technical Services / Sustainability Director</t>
        </is>
      </c>
      <c r="N42" s="11" t="n">
        <v>5</v>
      </c>
      <c r="O42" s="13" t="inlineStr">
        <is>
          <t>B</t>
        </is>
      </c>
      <c r="P42" s="11" t="inlineStr">
        <is>
          <t>orta-büyük resort; bilinen GES yok -&gt; GES+ESS paketi; çok-resortlu grup (tek kararla birden fazla ada)</t>
        </is>
      </c>
    </row>
    <row r="43">
      <c r="A43" s="11" t="n">
        <v>42</v>
      </c>
      <c r="B43" s="11" t="inlineStr">
        <is>
          <t>Shangri-La Villingili</t>
        </is>
      </c>
      <c r="C43" s="11" t="inlineStr">
        <is>
          <t>Addu</t>
        </is>
      </c>
      <c r="D43" s="11" t="inlineStr">
        <is>
          <t>Shangri-La</t>
        </is>
      </c>
      <c r="E43" s="11" t="n">
        <v>130</v>
      </c>
      <c r="F43" s="11" t="inlineStr">
        <is>
          <t>Dizel ağırlıklı (kamuya açık GES bilgisi yok)</t>
        </is>
      </c>
      <c r="G43" s="11" t="inlineStr">
        <is>
          <t>—</t>
        </is>
      </c>
      <c r="H43" s="11" t="inlineStr">
        <is>
          <t>shangri-la.com</t>
        </is>
      </c>
      <c r="I43" s="11" t="inlineStr">
        <is>
          <t>—</t>
        </is>
      </c>
      <c r="J43" s="11" t="inlineStr">
        <is>
          <t>+960 689 7888</t>
        </is>
      </c>
      <c r="K43" s="11" t="inlineStr">
        <is>
          <t>Otelin kendi sitesi; e-posta sayfada gizlenmiş</t>
        </is>
      </c>
      <c r="L43" s="11" t="inlineStr">
        <is>
          <t>https://www.shangri-la.com/male/villingiliresort/about/local-guide/explore-male/quick-facts/</t>
        </is>
      </c>
      <c r="M43" s="11" t="inlineStr">
        <is>
          <t>Resort: Director of Engineering / Chief Engineer, General Manager; Grup: Technical Services / Sustainability Director</t>
        </is>
      </c>
      <c r="N43" s="11" t="n">
        <v>5</v>
      </c>
      <c r="O43" s="13" t="inlineStr">
        <is>
          <t>B</t>
        </is>
      </c>
      <c r="P43" s="11" t="inlineStr">
        <is>
          <t>orta-büyük resort; bilinen GES yok -&gt; GES+ESS paketi; çok-resortlu grup (tek kararla birden fazla ada)</t>
        </is>
      </c>
    </row>
    <row r="44">
      <c r="A44" s="11" t="n">
        <v>43</v>
      </c>
      <c r="B44" s="11" t="inlineStr">
        <is>
          <t>Sheraton Maldives Full Moon</t>
        </is>
      </c>
      <c r="C44" s="11" t="inlineStr">
        <is>
          <t>Kaafu (Kuzey Malé)</t>
        </is>
      </c>
      <c r="D44" s="11" t="inlineStr">
        <is>
          <t>Marriott markası</t>
        </is>
      </c>
      <c r="E44" s="11" t="n">
        <v>176</v>
      </c>
      <c r="F44" s="11" t="inlineStr">
        <is>
          <t>Dizel ağırlıklı (kamuya açık GES bilgisi yok)</t>
        </is>
      </c>
      <c r="G44" s="11" t="inlineStr">
        <is>
          <t>—</t>
        </is>
      </c>
      <c r="H44" s="11" t="inlineStr">
        <is>
          <t>marriott.com</t>
        </is>
      </c>
      <c r="I44" s="11" t="inlineStr">
        <is>
          <t>sheraton.maldives@sheraton.com</t>
        </is>
      </c>
      <c r="J44" s="11" t="inlineStr">
        <is>
          <t>+960 664 2010</t>
        </is>
      </c>
      <c r="K44" s="11" t="inlineStr">
        <is>
          <t>Otel rehberi / arama sonucu</t>
        </is>
      </c>
      <c r="L44" s="11" t="inlineStr">
        <is>
          <t>https://www.hotelcontact.net/sheraton-maldives-full-moon-resort-spa-vihamanaafushi-en.html</t>
        </is>
      </c>
      <c r="M44" s="11" t="inlineStr">
        <is>
          <t>Resort: Director of Engineering / Chief Engineer, General Manager; Grup: Technical Services / Sustainability Director</t>
        </is>
      </c>
      <c r="N44" s="11" t="n">
        <v>5</v>
      </c>
      <c r="O44" s="13" t="inlineStr">
        <is>
          <t>B</t>
        </is>
      </c>
      <c r="P44" s="11" t="inlineStr">
        <is>
          <t>orta-büyük resort; bilinen GES yok -&gt; GES+ESS paketi; çok-resortlu grup (tek kararla birden fazla ada)</t>
        </is>
      </c>
    </row>
    <row r="45">
      <c r="A45" s="11" t="n">
        <v>44</v>
      </c>
      <c r="B45" s="11" t="inlineStr">
        <is>
          <t>Six Senses Laamu</t>
        </is>
      </c>
      <c r="C45" s="11" t="inlineStr">
        <is>
          <t>Laamu</t>
        </is>
      </c>
      <c r="D45" s="11" t="inlineStr">
        <is>
          <t>Six Senses (IHG)</t>
        </is>
      </c>
      <c r="E45" s="11" t="n">
        <v>97</v>
      </c>
      <c r="F45" s="11" t="inlineStr">
        <is>
          <t>Kısmi GES, ESS yok/bilinmiyor</t>
        </is>
      </c>
      <c r="G45" s="11" t="inlineStr">
        <is>
          <t>Sürdürülebilirlik odaklı; GES bilgisi var, kapsamı doğrulanmalı</t>
        </is>
      </c>
      <c r="H45" s="11" t="inlineStr">
        <is>
          <t>sixsenses.com</t>
        </is>
      </c>
      <c r="I45" s="11" t="inlineStr">
        <is>
          <t>reservations-laamu@sixsenses.com</t>
        </is>
      </c>
      <c r="J45" s="11" t="inlineStr">
        <is>
          <t>+960 680 0800</t>
        </is>
      </c>
      <c r="K45" s="11" t="inlineStr">
        <is>
          <t>Arama sonucu</t>
        </is>
      </c>
      <c r="L45" s="11" t="inlineStr">
        <is>
          <t>https://wetu.com/iBrochure/en/Information/63679/six_senses_laamu/Contact</t>
        </is>
      </c>
      <c r="M45" s="11" t="inlineStr">
        <is>
          <t>Resort: Director of Engineering / Chief Engineer, General Manager; Grup: Technical Services / Sustainability Director</t>
        </is>
      </c>
      <c r="N45" s="11" t="n">
        <v>5</v>
      </c>
      <c r="O45" s="13" t="inlineStr">
        <is>
          <t>B</t>
        </is>
      </c>
      <c r="P45" s="11" t="inlineStr">
        <is>
          <t>küçük/butik resort; GES var ama ESS yok -&gt; en uygun ESS ilavesi hedefi; çok-resortlu grup (tek kararla birden fazla ada)</t>
        </is>
      </c>
    </row>
    <row r="46">
      <c r="A46" s="11" t="n">
        <v>45</v>
      </c>
      <c r="B46" s="11" t="inlineStr">
        <is>
          <t>Sun Siyam Iru Fushi</t>
        </is>
      </c>
      <c r="C46" s="11" t="inlineStr">
        <is>
          <t>Noonu</t>
        </is>
      </c>
      <c r="D46" s="11" t="inlineStr">
        <is>
          <t>Sun Siyam Resorts</t>
        </is>
      </c>
      <c r="E46" s="11" t="n">
        <v>220</v>
      </c>
      <c r="F46" s="11" t="inlineStr">
        <is>
          <t>Dizel ağırlıklı (kamuya açık GES bilgisi yok)</t>
        </is>
      </c>
      <c r="G46" s="11" t="inlineStr">
        <is>
          <t>Grup modeli diğer adalara yayacağını açıkladı (2. faz adayı)</t>
        </is>
      </c>
      <c r="H46" s="11" t="inlineStr">
        <is>
          <t>sunsiyam.com</t>
        </is>
      </c>
      <c r="I46" s="11" t="inlineStr">
        <is>
          <t>info.irufushi@sunsiyam.com; book@sunsiyam.com (merkez)</t>
        </is>
      </c>
      <c r="J46" s="11" t="inlineStr">
        <is>
          <t>+960 656 0591</t>
        </is>
      </c>
      <c r="K46" s="11" t="inlineStr">
        <is>
          <t>Otelin kendi sitesi</t>
        </is>
      </c>
      <c r="L46" s="11" t="inlineStr">
        <is>
          <t>https://www.sunsiyam.com/sun-siyam-iru-fushi/contact-us/</t>
        </is>
      </c>
      <c r="M46" s="11" t="inlineStr">
        <is>
          <t>Resort: Director of Engineering / Chief Engineer, General Manager; Grup: Technical Services / Sustainability Director</t>
        </is>
      </c>
      <c r="N46" s="11" t="n">
        <v>5</v>
      </c>
      <c r="O46" s="13" t="inlineStr">
        <is>
          <t>B</t>
        </is>
      </c>
      <c r="P46" s="11" t="inlineStr">
        <is>
          <t>orta-büyük resort; bilinen GES yok -&gt; GES+ESS paketi; çok-resortlu grup (tek kararla birden fazla ada)</t>
        </is>
      </c>
    </row>
    <row r="47">
      <c r="A47" s="11" t="n">
        <v>46</v>
      </c>
      <c r="B47" s="11" t="inlineStr">
        <is>
          <t>Sun Siyam Iru Veli</t>
        </is>
      </c>
      <c r="C47" s="11" t="inlineStr">
        <is>
          <t>Dhaalu</t>
        </is>
      </c>
      <c r="D47" s="11" t="inlineStr">
        <is>
          <t>Sun Siyam Resorts</t>
        </is>
      </c>
      <c r="E47" s="11" t="n">
        <v>125</v>
      </c>
      <c r="F47" s="11" t="inlineStr">
        <is>
          <t>Dizel ağırlıklı (kamuya açık GES bilgisi yok)</t>
        </is>
      </c>
      <c r="G47" s="11" t="inlineStr">
        <is>
          <t>Grup 2. faz adayı</t>
        </is>
      </c>
      <c r="H47" s="11" t="inlineStr">
        <is>
          <t>sunsiyam.com</t>
        </is>
      </c>
      <c r="I47" s="11" t="inlineStr">
        <is>
          <t>book@sunsiyam.com (merkez)</t>
        </is>
      </c>
      <c r="J47" s="11" t="inlineStr">
        <is>
          <t>+960 676 0100</t>
        </is>
      </c>
      <c r="K47" s="11" t="inlineStr">
        <is>
          <t>Otelin kendi sitesi; otele özel e-posta gizlenmiş</t>
        </is>
      </c>
      <c r="L47" s="11" t="inlineStr">
        <is>
          <t>https://www.sunsiyam.com/sun-siyam-iru-veli/contact-us/</t>
        </is>
      </c>
      <c r="M47" s="11" t="inlineStr">
        <is>
          <t>Resort: Director of Engineering / Chief Engineer, General Manager; Grup: Technical Services / Sustainability Director</t>
        </is>
      </c>
      <c r="N47" s="11" t="n">
        <v>5</v>
      </c>
      <c r="O47" s="13" t="inlineStr">
        <is>
          <t>B</t>
        </is>
      </c>
      <c r="P47" s="11" t="inlineStr">
        <is>
          <t>orta-büyük resort; bilinen GES yok -&gt; GES+ESS paketi; çok-resortlu grup (tek kararla birden fazla ada)</t>
        </is>
      </c>
    </row>
    <row r="48">
      <c r="A48" s="11" t="n">
        <v>47</v>
      </c>
      <c r="B48" s="11" t="inlineStr">
        <is>
          <t>Taj Coral Reef</t>
        </is>
      </c>
      <c r="C48" s="11" t="inlineStr">
        <is>
          <t>Kaafu (Kuzey Malé)</t>
        </is>
      </c>
      <c r="D48" s="11" t="inlineStr">
        <is>
          <t>IHCL (Taj)</t>
        </is>
      </c>
      <c r="E48" s="11" t="n">
        <v>70</v>
      </c>
      <c r="F48" s="11" t="inlineStr">
        <is>
          <t>Kısmi GES, ESS yok/bilinmiyor</t>
        </is>
      </c>
      <c r="G48" s="11" t="inlineStr">
        <is>
          <t>Swimsol SolarSea yüzer GES</t>
        </is>
      </c>
      <c r="H48" s="11" t="inlineStr">
        <is>
          <t>tajhotels.com</t>
        </is>
      </c>
      <c r="I48" s="11" t="inlineStr">
        <is>
          <t>tajcoralreef@tajhotels.com</t>
        </is>
      </c>
      <c r="J48" s="11" t="inlineStr">
        <is>
          <t>+960 664 1948</t>
        </is>
      </c>
      <c r="K48" s="11" t="inlineStr">
        <is>
          <t>Arama sonucu</t>
        </is>
      </c>
      <c r="L48" s="11" t="inlineStr">
        <is>
          <t>https://www.maldivestourism.net/resorts/taj-coral-reef-resort/</t>
        </is>
      </c>
      <c r="M48" s="11" t="inlineStr">
        <is>
          <t>Resort: Director of Engineering / Chief Engineer, General Manager; Grup: Technical Services / Sustainability Director</t>
        </is>
      </c>
      <c r="N48" s="11" t="n">
        <v>5</v>
      </c>
      <c r="O48" s="13" t="inlineStr">
        <is>
          <t>B</t>
        </is>
      </c>
      <c r="P48" s="11" t="inlineStr">
        <is>
          <t>küçük/butik resort; GES var ama ESS yok -&gt; en uygun ESS ilavesi hedefi; çok-resortlu grup (tek kararla birden fazla ada)</t>
        </is>
      </c>
    </row>
    <row r="49">
      <c r="A49" s="11" t="n">
        <v>48</v>
      </c>
      <c r="B49" s="11" t="inlineStr">
        <is>
          <t>Taj Exotica Resort &amp; Spa</t>
        </is>
      </c>
      <c r="C49" s="11" t="inlineStr">
        <is>
          <t>Kaafu (Güney Malé)</t>
        </is>
      </c>
      <c r="D49" s="11" t="inlineStr">
        <is>
          <t>IHCL (Taj)</t>
        </is>
      </c>
      <c r="E49" s="11" t="n">
        <v>66</v>
      </c>
      <c r="F49" s="11" t="inlineStr">
        <is>
          <t>Kısmi GES, ESS yok/bilinmiyor</t>
        </is>
      </c>
      <c r="G49" s="11" t="inlineStr">
        <is>
          <t>Swimsol SolarSea yüzer GES</t>
        </is>
      </c>
      <c r="H49" s="11" t="inlineStr">
        <is>
          <t>tajhotels.com</t>
        </is>
      </c>
      <c r="I49" s="11" t="inlineStr">
        <is>
          <t>exotica.maldives@tajhotels.com</t>
        </is>
      </c>
      <c r="J49" s="11" t="inlineStr">
        <is>
          <t>+960 400 6000</t>
        </is>
      </c>
      <c r="K49" s="11" t="inlineStr">
        <is>
          <t>Arama sonucu</t>
        </is>
      </c>
      <c r="L49" s="11" t="inlineStr">
        <is>
          <t>https://visitmaldives.com/en/resorts/taj-exotica-resort-and-spa-maldives</t>
        </is>
      </c>
      <c r="M49" s="11" t="inlineStr">
        <is>
          <t>Resort: Director of Engineering / Chief Engineer, General Manager; Grup: Technical Services / Sustainability Director</t>
        </is>
      </c>
      <c r="N49" s="11" t="n">
        <v>5</v>
      </c>
      <c r="O49" s="13" t="inlineStr">
        <is>
          <t>B</t>
        </is>
      </c>
      <c r="P49" s="11" t="inlineStr">
        <is>
          <t>küçük/butik resort; GES var ama ESS yok -&gt; en uygun ESS ilavesi hedefi; çok-resortlu grup (tek kararla birden fazla ada)</t>
        </is>
      </c>
    </row>
    <row r="50">
      <c r="A50" s="11" t="n">
        <v>49</v>
      </c>
      <c r="B50" s="11" t="inlineStr">
        <is>
          <t>VARU by Atmosphere</t>
        </is>
      </c>
      <c r="C50" s="11" t="inlineStr">
        <is>
          <t>Kaafu (Kuzey Malé)</t>
        </is>
      </c>
      <c r="D50" s="11" t="inlineStr">
        <is>
          <t>Atmosphere Core</t>
        </is>
      </c>
      <c r="E50" s="11" t="n">
        <v>110</v>
      </c>
      <c r="F50" s="11" t="inlineStr">
        <is>
          <t>Kısmi GES, ESS yok/bilinmiyor</t>
        </is>
      </c>
      <c r="G50" s="11" t="inlineStr">
        <is>
          <t>Grup çatı GES programı</t>
        </is>
      </c>
      <c r="H50" s="11" t="inlineStr">
        <is>
          <t>varu-by-atmosphere.com</t>
        </is>
      </c>
      <c r="I50" s="11" t="inlineStr">
        <is>
          <t>—</t>
        </is>
      </c>
      <c r="J50" s="11" t="inlineStr">
        <is>
          <t>+960 400 0800</t>
        </is>
      </c>
      <c r="K50" s="11" t="inlineStr">
        <is>
          <t>Otelin kendi sitesi; e-posta sayfada gizlenmiş</t>
        </is>
      </c>
      <c r="L50" s="11" t="inlineStr">
        <is>
          <t>https://varu-atmosphere.com/en/contact-us</t>
        </is>
      </c>
      <c r="M50" s="11" t="inlineStr">
        <is>
          <t>Resort: Director of Engineering / Chief Engineer, General Manager; Grup: Technical Services / Sustainability Director</t>
        </is>
      </c>
      <c r="N50" s="11" t="n">
        <v>5</v>
      </c>
      <c r="O50" s="13" t="inlineStr">
        <is>
          <t>B</t>
        </is>
      </c>
      <c r="P50" s="11" t="inlineStr">
        <is>
          <t>küçük/butik resort; GES var ama ESS yok -&gt; en uygun ESS ilavesi hedefi; çok-resortlu grup (tek kararla birden fazla ada)</t>
        </is>
      </c>
    </row>
    <row r="51">
      <c r="A51" s="11" t="n">
        <v>50</v>
      </c>
      <c r="B51" s="11" t="inlineStr">
        <is>
          <t>Velassaru Maldives</t>
        </is>
      </c>
      <c r="C51" s="11" t="inlineStr">
        <is>
          <t>Kaafu (Güney Malé)</t>
        </is>
      </c>
      <c r="D51" s="11" t="inlineStr">
        <is>
          <t>VERSA Hospitality (Niva)</t>
        </is>
      </c>
      <c r="E51" s="11" t="n">
        <v>129</v>
      </c>
      <c r="F51" s="11" t="inlineStr">
        <is>
          <t>Dizel ağırlıklı (kamuya açık GES bilgisi yok)</t>
        </is>
      </c>
      <c r="G51" s="11" t="inlineStr">
        <is>
          <t>—</t>
        </is>
      </c>
      <c r="H51" s="11" t="inlineStr">
        <is>
          <t>nivavelassaru.com</t>
        </is>
      </c>
      <c r="I51" s="11" t="inlineStr">
        <is>
          <t>—</t>
        </is>
      </c>
      <c r="J51" s="11" t="inlineStr">
        <is>
          <t>+960 665 6100</t>
        </is>
      </c>
      <c r="K51" s="11" t="inlineStr">
        <is>
          <t>NOT: 'Niva Velassaru' adıyla yeni marka/site; e-posta gizlenmiş</t>
        </is>
      </c>
      <c r="L51" s="11" t="inlineStr">
        <is>
          <t>https://www.nivavelassaru.com/contact/</t>
        </is>
      </c>
      <c r="M51" s="11" t="inlineStr">
        <is>
          <t>Resort: Director of Engineering / Chief Engineer, General Manager; Grup: Technical Services / Sustainability Director</t>
        </is>
      </c>
      <c r="N51" s="11" t="n">
        <v>5</v>
      </c>
      <c r="O51" s="13" t="inlineStr">
        <is>
          <t>B</t>
        </is>
      </c>
      <c r="P51" s="11" t="inlineStr">
        <is>
          <t>orta-büyük resort; bilinen GES yok -&gt; GES+ESS paketi; çok-resortlu grup (tek kararla birden fazla ada)</t>
        </is>
      </c>
    </row>
    <row r="52">
      <c r="A52" s="11" t="n">
        <v>51</v>
      </c>
      <c r="B52" s="11" t="inlineStr">
        <is>
          <t>Zamani Islands (3 resort + marina)</t>
        </is>
      </c>
      <c r="C52" s="11" t="inlineStr">
        <is>
          <t>Kaafu (Güney Malé)</t>
        </is>
      </c>
      <c r="D52" s="11" t="inlineStr">
        <is>
          <t>Zamani</t>
        </is>
      </c>
      <c r="E52" s="11" t="inlineStr">
        <is>
          <t>Doğrulanmalı</t>
        </is>
      </c>
      <c r="F52" s="11" t="inlineStr">
        <is>
          <t>Yeni proje – enerji sistemi tasarım aşamasında</t>
        </is>
      </c>
      <c r="G52" s="11" t="inlineStr">
        <is>
          <t>8 adalı karma proje – büyük enerji ihtiyacı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—</t>
        </is>
      </c>
      <c r="K52" s="11" t="inlineStr">
        <is>
          <t>Bulunamadı (yeni proje / doğrulanmalı)</t>
        </is>
      </c>
      <c r="L52" s="11" t="inlineStr">
        <is>
          <t>—</t>
        </is>
      </c>
      <c r="M52" s="11" t="inlineStr">
        <is>
          <t>Resort: Director of Engineering / Chief Engineer, General Manager; Grup: Technical Services / Sustainability Director</t>
        </is>
      </c>
      <c r="N52" s="11" t="n">
        <v>5</v>
      </c>
      <c r="O52" s="13" t="inlineStr">
        <is>
          <t>B</t>
        </is>
      </c>
      <c r="P52" s="11" t="inlineStr">
        <is>
          <t>oda sayısı doğrulanmalı; yeni proje -&gt; tasarım aşamasında girilebilir; çok-resortlu grup (tek kararla birden fazla ada)</t>
        </is>
      </c>
    </row>
    <row r="53">
      <c r="A53" s="11" t="n">
        <v>52</v>
      </c>
      <c r="B53" s="11" t="inlineStr">
        <is>
          <t>Adaaran Prestige Vadoo</t>
        </is>
      </c>
      <c r="C53" s="11" t="inlineStr">
        <is>
          <t>Kaafu (Güney Malé)</t>
        </is>
      </c>
      <c r="D53" s="11" t="inlineStr">
        <is>
          <t>Aitken Spence (Adaaran)</t>
        </is>
      </c>
      <c r="E53" s="11" t="n">
        <v>50</v>
      </c>
      <c r="F53" s="11" t="inlineStr">
        <is>
          <t>Dizel ağırlıklı (kamuya açık GES bilgisi yok)</t>
        </is>
      </c>
      <c r="G53" s="11" t="inlineStr">
        <is>
          <t>—</t>
        </is>
      </c>
      <c r="H53" s="11" t="inlineStr">
        <is>
          <t>adaaran.com</t>
        </is>
      </c>
      <c r="I53" s="11" t="inlineStr">
        <is>
          <t>res.vadoo@adaaran.com.mv</t>
        </is>
      </c>
      <c r="J53" s="11" t="inlineStr">
        <is>
          <t>+960 664 3976</t>
        </is>
      </c>
      <c r="K53" s="11" t="inlineStr">
        <is>
          <t>Otelin kendi sitesi</t>
        </is>
      </c>
      <c r="L53" s="11" t="inlineStr">
        <is>
          <t>https://www.adaaran.com/prestigevadoo/contact-us/</t>
        </is>
      </c>
      <c r="M53" s="11" t="inlineStr">
        <is>
          <t>Resort: Director of Engineering / Chief Engineer, General Manager; Grup: Technical Services / Sustainability Director</t>
        </is>
      </c>
      <c r="N53" s="11" t="n">
        <v>4</v>
      </c>
      <c r="O53" s="13" t="inlineStr">
        <is>
          <t>B</t>
        </is>
      </c>
      <c r="P53" s="11" t="inlineStr">
        <is>
          <t>küçük/butik resort; bilinen GES yok -&gt; GES+ESS paketi; çok-resortlu grup (tek kararla birden fazla ada)</t>
        </is>
      </c>
    </row>
    <row r="54">
      <c r="A54" s="11" t="n">
        <v>53</v>
      </c>
      <c r="B54" s="11" t="inlineStr">
        <is>
          <t>Anantara Kihavah</t>
        </is>
      </c>
      <c r="C54" s="11" t="inlineStr">
        <is>
          <t>Baa</t>
        </is>
      </c>
      <c r="D54" s="11" t="inlineStr">
        <is>
          <t>Minor Hotels</t>
        </is>
      </c>
      <c r="E54" s="11" t="n">
        <v>80</v>
      </c>
      <c r="F54" s="11" t="inlineStr">
        <is>
          <t>Dizel ağırlıklı (kamuya açık GES bilgisi yok)</t>
        </is>
      </c>
      <c r="G54" s="11" t="inlineStr">
        <is>
          <t>—</t>
        </is>
      </c>
      <c r="H54" s="11" t="inlineStr">
        <is>
          <t>anantara.com</t>
        </is>
      </c>
      <c r="I54" s="11" t="inlineStr">
        <is>
          <t>kihavahmaldives@anantara.com</t>
        </is>
      </c>
      <c r="J54" s="11" t="inlineStr">
        <is>
          <t>+960 660 1020</t>
        </is>
      </c>
      <c r="K54" s="11" t="inlineStr">
        <is>
          <t>Otelin kendi sitesi</t>
        </is>
      </c>
      <c r="L54" s="11" t="inlineStr">
        <is>
          <t>https://www.anantara.com/en/kihavah-maldives/contact</t>
        </is>
      </c>
      <c r="M54" s="11" t="inlineStr">
        <is>
          <t>Resort: Director of Engineering / Chief Engineer, General Manager; Grup: Technical Services / Sustainability Director</t>
        </is>
      </c>
      <c r="N54" s="11" t="n">
        <v>4</v>
      </c>
      <c r="O54" s="13" t="inlineStr">
        <is>
          <t>B</t>
        </is>
      </c>
      <c r="P54" s="11" t="inlineStr">
        <is>
          <t>küçük/butik resort; bilinen GES yok -&gt; GES+ESS paketi; çok-resortlu grup (tek kararla birden fazla ada)</t>
        </is>
      </c>
    </row>
    <row r="55">
      <c r="A55" s="11" t="n">
        <v>54</v>
      </c>
      <c r="B55" s="11" t="inlineStr">
        <is>
          <t>Angsana Velavaru</t>
        </is>
      </c>
      <c r="C55" s="11" t="inlineStr">
        <is>
          <t>Dhaalu</t>
        </is>
      </c>
      <c r="D55" s="11" t="inlineStr">
        <is>
          <t>Banyan Group</t>
        </is>
      </c>
      <c r="E55" s="11" t="n">
        <v>113</v>
      </c>
      <c r="F55" s="11" t="inlineStr">
        <is>
          <t>Dizel ağırlıklı (kamuya açık GES bilgisi yok)</t>
        </is>
      </c>
      <c r="G55" s="11" t="inlineStr">
        <is>
          <t>—</t>
        </is>
      </c>
      <c r="H55" s="11" t="inlineStr">
        <is>
          <t>angsana.com</t>
        </is>
      </c>
      <c r="I55" s="11" t="inlineStr">
        <is>
          <t>reservations-velavaru@angsana.com</t>
        </is>
      </c>
      <c r="J55" s="11" t="inlineStr">
        <is>
          <t>+960 676 0028</t>
        </is>
      </c>
      <c r="K55" s="11" t="inlineStr">
        <is>
          <t>Arama sonucu</t>
        </is>
      </c>
      <c r="L55" s="11" t="inlineStr">
        <is>
          <t>https://www.angsana.com/maldives/velavaru/travel-information</t>
        </is>
      </c>
      <c r="M55" s="11" t="inlineStr">
        <is>
          <t>Resort: Director of Engineering / Chief Engineer, General Manager; Grup: Technical Services / Sustainability Director</t>
        </is>
      </c>
      <c r="N55" s="11" t="n">
        <v>4</v>
      </c>
      <c r="O55" s="13" t="inlineStr">
        <is>
          <t>B</t>
        </is>
      </c>
      <c r="P55" s="11" t="inlineStr">
        <is>
          <t>küçük/butik resort; bilinen GES yok -&gt; GES+ESS paketi; çok-resortlu grup (tek kararla birden fazla ada)</t>
        </is>
      </c>
    </row>
    <row r="56">
      <c r="A56" s="11" t="n">
        <v>55</v>
      </c>
      <c r="B56" s="11" t="inlineStr">
        <is>
          <t>Aura Maldives</t>
        </is>
      </c>
      <c r="C56" s="11" t="inlineStr">
        <is>
          <t>Baa</t>
        </is>
      </c>
      <c r="D56" s="11" t="inlineStr">
        <is>
          <t>Doğrulanmalı</t>
        </is>
      </c>
      <c r="E56" s="11" t="inlineStr">
        <is>
          <t>Doğrulanmalı</t>
        </is>
      </c>
      <c r="F56" s="11" t="inlineStr">
        <is>
          <t>Yeni proje – enerji sistemi tasarım aşamasında</t>
        </is>
      </c>
      <c r="G56" s="11" t="inlineStr">
        <is>
          <t>2026 sonu açılış bekleniyor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1" t="inlineStr">
        <is>
          <t>Bulunamadı (yeni proje / doğrulanmalı)</t>
        </is>
      </c>
      <c r="L56" s="11" t="inlineStr">
        <is>
          <t>—</t>
        </is>
      </c>
      <c r="M56" s="11" t="inlineStr">
        <is>
          <t>Resort: Director of Engineering / Chief Engineer, General Manager; Grup: Technical Services / Sustainability Director</t>
        </is>
      </c>
      <c r="N56" s="11" t="n">
        <v>4</v>
      </c>
      <c r="O56" s="13" t="inlineStr">
        <is>
          <t>B</t>
        </is>
      </c>
      <c r="P56" s="11" t="inlineStr">
        <is>
          <t>oda sayısı doğrulanmalı; yeni proje -&gt; tasarım aşamasında girilebilir</t>
        </is>
      </c>
    </row>
    <row r="57">
      <c r="A57" s="11" t="n">
        <v>56</v>
      </c>
      <c r="B57" s="11" t="inlineStr">
        <is>
          <t>Baros Maldives</t>
        </is>
      </c>
      <c r="C57" s="11" t="inlineStr">
        <is>
          <t>Kaafu (Kuzey Malé)</t>
        </is>
      </c>
      <c r="D57" s="11" t="inlineStr">
        <is>
          <t>VERSA Hospitality</t>
        </is>
      </c>
      <c r="E57" s="11" t="n">
        <v>75</v>
      </c>
      <c r="F57" s="11" t="inlineStr">
        <is>
          <t>Dizel ağırlıklı (kamuya açık GES bilgisi yok)</t>
        </is>
      </c>
      <c r="G57" s="11" t="inlineStr">
        <is>
          <t>—</t>
        </is>
      </c>
      <c r="H57" s="11" t="inlineStr">
        <is>
          <t>baros.com</t>
        </is>
      </c>
      <c r="I57" s="11" t="inlineStr">
        <is>
          <t>reservations@baros.com</t>
        </is>
      </c>
      <c r="J57" s="11" t="inlineStr">
        <is>
          <t>+960 664 2672</t>
        </is>
      </c>
      <c r="K57" s="11" t="inlineStr">
        <is>
          <t>Arama sonucu (otel sitesi)</t>
        </is>
      </c>
      <c r="L57" s="11" t="inlineStr">
        <is>
          <t>https://barosthn.emarketingeye.net/contact-us</t>
        </is>
      </c>
      <c r="M57" s="11" t="inlineStr">
        <is>
          <t>Resort: Director of Engineering / Chief Engineer, General Manager; Grup: Technical Services / Sustainability Director</t>
        </is>
      </c>
      <c r="N57" s="11" t="n">
        <v>4</v>
      </c>
      <c r="O57" s="13" t="inlineStr">
        <is>
          <t>B</t>
        </is>
      </c>
      <c r="P57" s="11" t="inlineStr">
        <is>
          <t>küçük/butik resort; bilinen GES yok -&gt; GES+ESS paketi; çok-resortlu grup (tek kararla birden fazla ada)</t>
        </is>
      </c>
    </row>
    <row r="58">
      <c r="A58" s="11" t="n">
        <v>57</v>
      </c>
      <c r="B58" s="11" t="inlineStr">
        <is>
          <t>Cinnamon Hakuraa Huraa</t>
        </is>
      </c>
      <c r="C58" s="11" t="inlineStr">
        <is>
          <t>Meemu</t>
        </is>
      </c>
      <c r="D58" s="11" t="inlineStr">
        <is>
          <t>Cinnamon Hotels (John Keells)</t>
        </is>
      </c>
      <c r="E58" s="11" t="n">
        <v>80</v>
      </c>
      <c r="F58" s="11" t="inlineStr">
        <is>
          <t>Dizel ağırlıklı (kamuya açık GES bilgisi yok)</t>
        </is>
      </c>
      <c r="G58" s="11" t="inlineStr">
        <is>
          <t>—</t>
        </is>
      </c>
      <c r="H58" s="11" t="inlineStr">
        <is>
          <t>cinnamonhotels.com</t>
        </is>
      </c>
      <c r="I58" s="11" t="inlineStr">
        <is>
          <t>info@cinnamonhotels.com (merkez); sales.mv@cinnamonhotels.com</t>
        </is>
      </c>
      <c r="J58" s="11" t="inlineStr">
        <is>
          <t>+960 672 6000</t>
        </is>
      </c>
      <c r="K58" s="11" t="inlineStr">
        <is>
          <t>Arama sonucu</t>
        </is>
      </c>
      <c r="L58" s="11" t="inlineStr">
        <is>
          <t>https://www.cinnamonhotels.com/cinnamon-hakuraa-huraa-maldives</t>
        </is>
      </c>
      <c r="M58" s="11" t="inlineStr">
        <is>
          <t>Resort: Director of Engineering / Chief Engineer, General Manager; Grup: Technical Services / Sustainability Director</t>
        </is>
      </c>
      <c r="N58" s="11" t="n">
        <v>4</v>
      </c>
      <c r="O58" s="13" t="inlineStr">
        <is>
          <t>B</t>
        </is>
      </c>
      <c r="P58" s="11" t="inlineStr">
        <is>
          <t>küçük/butik resort; bilinen GES yok -&gt; GES+ESS paketi; çok-resortlu grup (tek kararla birden fazla ada)</t>
        </is>
      </c>
    </row>
    <row r="59">
      <c r="A59" s="11" t="n">
        <v>58</v>
      </c>
      <c r="B59" s="11" t="inlineStr">
        <is>
          <t>Cinnamon Velifushi</t>
        </is>
      </c>
      <c r="C59" s="11" t="inlineStr">
        <is>
          <t>Vaavu</t>
        </is>
      </c>
      <c r="D59" s="11" t="inlineStr">
        <is>
          <t>Cinnamon Hotels (John Keells)</t>
        </is>
      </c>
      <c r="E59" s="11" t="n">
        <v>90</v>
      </c>
      <c r="F59" s="11" t="inlineStr">
        <is>
          <t>Dizel ağırlıklı (kamuya açık GES bilgisi yok)</t>
        </is>
      </c>
      <c r="G59" s="11" t="inlineStr">
        <is>
          <t>—</t>
        </is>
      </c>
      <c r="H59" s="11" t="inlineStr">
        <is>
          <t>cinnamonhotels.com</t>
        </is>
      </c>
      <c r="I59" s="11" t="inlineStr">
        <is>
          <t>info@cinnamonhotels.com (merkez); sales.mv@cinnamonhotels.com</t>
        </is>
      </c>
      <c r="J59" s="11" t="inlineStr">
        <is>
          <t>+94 112 161 161 (merkez)</t>
        </is>
      </c>
      <c r="K59" s="11" t="inlineStr">
        <is>
          <t>Otele özel bilgi bulunamadı</t>
        </is>
      </c>
      <c r="L59" s="11" t="inlineStr">
        <is>
          <t>https://www.cinnamonhotels.com/hotel-contact-information</t>
        </is>
      </c>
      <c r="M59" s="11" t="inlineStr">
        <is>
          <t>Resort: Director of Engineering / Chief Engineer, General Manager; Grup: Technical Services / Sustainability Director</t>
        </is>
      </c>
      <c r="N59" s="11" t="n">
        <v>4</v>
      </c>
      <c r="O59" s="13" t="inlineStr">
        <is>
          <t>B</t>
        </is>
      </c>
      <c r="P59" s="11" t="inlineStr">
        <is>
          <t>küçük/butik resort; bilinen GES yok -&gt; GES+ESS paketi; çok-resortlu grup (tek kararla birden fazla ada)</t>
        </is>
      </c>
    </row>
    <row r="60">
      <c r="A60" s="11" t="n">
        <v>59</v>
      </c>
      <c r="B60" s="11" t="inlineStr">
        <is>
          <t>Club Med Finolhu Villas</t>
        </is>
      </c>
      <c r="C60" s="11" t="inlineStr">
        <is>
          <t>Kaafu (Kuzey Malé)</t>
        </is>
      </c>
      <c r="D60" s="11" t="inlineStr">
        <is>
          <t>Club Med</t>
        </is>
      </c>
      <c r="E60" s="11" t="n">
        <v>50</v>
      </c>
      <c r="F60" s="11" t="inlineStr">
        <is>
          <t>Dizel ağırlıklı (kamuya açık GES bilgisi yok)</t>
        </is>
      </c>
      <c r="G60" s="11" t="inlineStr">
        <is>
          <t>Kani ile aynı lagün</t>
        </is>
      </c>
      <c r="H60" s="11" t="inlineStr">
        <is>
          <t>clubmed.com</t>
        </is>
      </c>
      <c r="I60" s="11" t="inlineStr">
        <is>
          <t>contactus.asia@clubmed.com (bölge merkezi)</t>
        </is>
      </c>
      <c r="J60" s="11" t="inlineStr">
        <is>
          <t>+960 664 4040</t>
        </is>
      </c>
      <c r="K60" s="11" t="inlineStr">
        <is>
          <t>Club Med sitesi</t>
        </is>
      </c>
      <c r="L60" s="11" t="inlineStr">
        <is>
          <t>https://www.clubmed.us/r/the-finolhu-villas/y</t>
        </is>
      </c>
      <c r="M60" s="11" t="inlineStr">
        <is>
          <t>Resort: Director of Engineering / Chief Engineer, General Manager; Grup: Technical Services / Sustainability Director</t>
        </is>
      </c>
      <c r="N60" s="11" t="n">
        <v>4</v>
      </c>
      <c r="O60" s="13" t="inlineStr">
        <is>
          <t>B</t>
        </is>
      </c>
      <c r="P60" s="11" t="inlineStr">
        <is>
          <t>küçük/butik resort; bilinen GES yok -&gt; GES+ESS paketi; çok-resortlu grup (tek kararla birden fazla ada)</t>
        </is>
      </c>
    </row>
    <row r="61">
      <c r="A61" s="11" t="n">
        <v>60</v>
      </c>
      <c r="B61" s="11" t="inlineStr">
        <is>
          <t>Diğer Crown &amp; Champa resortları</t>
        </is>
      </c>
      <c r="C61" s="11" t="inlineStr">
        <is>
          <t>Çeşitli</t>
        </is>
      </c>
      <c r="D61" s="11" t="inlineStr">
        <is>
          <t>Crown &amp; Champa Resorts</t>
        </is>
      </c>
      <c r="E61" s="11" t="inlineStr">
        <is>
          <t>Doğrulanmalı</t>
        </is>
      </c>
      <c r="F61" s="11" t="inlineStr">
        <is>
          <t>Dizel ağırlıklı (kamuya açık GES bilgisi yok)</t>
        </is>
      </c>
      <c r="G61" s="11" t="inlineStr">
        <is>
          <t>Grup düzeyinde tek görüşme ile 7+ ada</t>
        </is>
      </c>
      <c r="H61" s="11" t="inlineStr">
        <is>
          <t>crownandchamparesorts.com</t>
        </is>
      </c>
      <c r="I61" s="11" t="inlineStr">
        <is>
          <t>—</t>
        </is>
      </c>
      <c r="J61" s="11" t="inlineStr">
        <is>
          <t>—</t>
        </is>
      </c>
      <c r="K61" s="11" t="inlineStr">
        <is>
          <t>Web sitesindeki 'Contact' sayfası (genel e-posta/telefon buradan teyit edilmeli)</t>
        </is>
      </c>
      <c r="L61" s="11" t="inlineStr">
        <is>
          <t>—</t>
        </is>
      </c>
      <c r="M61" s="11" t="inlineStr">
        <is>
          <t>Resort: Director of Engineering / Chief Engineer, General Manager; Grup: Technical Services / Sustainability Director</t>
        </is>
      </c>
      <c r="N61" s="11" t="n">
        <v>4</v>
      </c>
      <c r="O61" s="13" t="inlineStr">
        <is>
          <t>B</t>
        </is>
      </c>
      <c r="P61" s="11" t="inlineStr">
        <is>
          <t>oda sayısı doğrulanmalı; bilinen GES yok -&gt; GES+ESS paketi; çok-resortlu grup (tek kararla birden fazla ada)</t>
        </is>
      </c>
    </row>
    <row r="62">
      <c r="A62" s="11" t="n">
        <v>61</v>
      </c>
      <c r="B62" s="11" t="inlineStr">
        <is>
          <t>Dusit Thani Maldives</t>
        </is>
      </c>
      <c r="C62" s="11" t="inlineStr">
        <is>
          <t>Baa</t>
        </is>
      </c>
      <c r="D62" s="11" t="inlineStr">
        <is>
          <t>Dusit</t>
        </is>
      </c>
      <c r="E62" s="11" t="n">
        <v>100</v>
      </c>
      <c r="F62" s="11" t="inlineStr">
        <is>
          <t>Dizel ağırlıklı (kamuya açık GES bilgisi yok)</t>
        </is>
      </c>
      <c r="G62" s="11" t="inlineStr">
        <is>
          <t>—</t>
        </is>
      </c>
      <c r="H62" s="11" t="inlineStr">
        <is>
          <t>dusit.com</t>
        </is>
      </c>
      <c r="I62" s="11" t="inlineStr">
        <is>
          <t>resmaldives@dusit.com</t>
        </is>
      </c>
      <c r="J62" s="11" t="inlineStr">
        <is>
          <t>+960 660 8888</t>
        </is>
      </c>
      <c r="K62" s="11" t="inlineStr">
        <is>
          <t>Otelin kendi sitesi</t>
        </is>
      </c>
      <c r="L62" s="11" t="inlineStr">
        <is>
          <t>https://www.dusit.com/dusitthani-maldives/contact-us/</t>
        </is>
      </c>
      <c r="M62" s="11" t="inlineStr">
        <is>
          <t>Resort: Director of Engineering / Chief Engineer, General Manager; Grup: Technical Services / Sustainability Director</t>
        </is>
      </c>
      <c r="N62" s="11" t="n">
        <v>4</v>
      </c>
      <c r="O62" s="13" t="inlineStr">
        <is>
          <t>B</t>
        </is>
      </c>
      <c r="P62" s="11" t="inlineStr">
        <is>
          <t>küçük/butik resort; bilinen GES yok -&gt; GES+ESS paketi; çok-resortlu grup (tek kararla birden fazla ada)</t>
        </is>
      </c>
    </row>
    <row r="63">
      <c r="A63" s="11" t="n">
        <v>62</v>
      </c>
      <c r="B63" s="11" t="inlineStr">
        <is>
          <t>Ellaidhoo Maldives by Cinnamon</t>
        </is>
      </c>
      <c r="C63" s="11" t="inlineStr">
        <is>
          <t>Alif Alif (Kuzey Ari)</t>
        </is>
      </c>
      <c r="D63" s="11" t="inlineStr">
        <is>
          <t>Cinnamon Hotels (John Keells)</t>
        </is>
      </c>
      <c r="E63" s="11" t="n">
        <v>110</v>
      </c>
      <c r="F63" s="11" t="inlineStr">
        <is>
          <t>Dizel ağırlıklı (kamuya açık GES bilgisi yok)</t>
        </is>
      </c>
      <c r="G63" s="11" t="inlineStr">
        <is>
          <t>—</t>
        </is>
      </c>
      <c r="H63" s="11" t="inlineStr">
        <is>
          <t>cinnamonhotels.com</t>
        </is>
      </c>
      <c r="I63" s="11" t="inlineStr">
        <is>
          <t>info@cinnamonhotels.com (merkez); sales.mv@cinnamonhotels.com</t>
        </is>
      </c>
      <c r="J63" s="11" t="inlineStr">
        <is>
          <t>+94 112 161 161 (merkez)</t>
        </is>
      </c>
      <c r="K63" s="11" t="inlineStr">
        <is>
          <t>Otele özel bilgi bulunamadı</t>
        </is>
      </c>
      <c r="L63" s="11" t="inlineStr">
        <is>
          <t>https://www.cinnamonhotels.com/hotel-contact-information</t>
        </is>
      </c>
      <c r="M63" s="11" t="inlineStr">
        <is>
          <t>Resort: Director of Engineering / Chief Engineer, General Manager; Grup: Technical Services / Sustainability Director</t>
        </is>
      </c>
      <c r="N63" s="11" t="n">
        <v>4</v>
      </c>
      <c r="O63" s="13" t="inlineStr">
        <is>
          <t>B</t>
        </is>
      </c>
      <c r="P63" s="11" t="inlineStr">
        <is>
          <t>küçük/butik resort; bilinen GES yok -&gt; GES+ESS paketi; çok-resortlu grup (tek kararla birden fazla ada)</t>
        </is>
      </c>
    </row>
    <row r="64">
      <c r="A64" s="11" t="n">
        <v>63</v>
      </c>
      <c r="B64" s="11" t="inlineStr">
        <is>
          <t>Embudu Village</t>
        </is>
      </c>
      <c r="C64" s="11" t="inlineStr">
        <is>
          <t>Kaafu (Güney Malé)</t>
        </is>
      </c>
      <c r="D64" s="11" t="inlineStr">
        <is>
          <t>Bağımsız</t>
        </is>
      </c>
      <c r="E64" s="11" t="n">
        <v>120</v>
      </c>
      <c r="F64" s="11" t="inlineStr">
        <is>
          <t>Dizel ağırlıklı (kamuya açık GES bilgisi yok)</t>
        </is>
      </c>
      <c r="G64" s="11" t="inlineStr">
        <is>
          <t>—</t>
        </is>
      </c>
      <c r="H64" s="11" t="inlineStr">
        <is>
          <t>embudu.com</t>
        </is>
      </c>
      <c r="I64" s="11" t="inlineStr">
        <is>
          <t>sales@embuduvillage.com</t>
        </is>
      </c>
      <c r="J64" s="11" t="inlineStr">
        <is>
          <t>+960 664 4776</t>
        </is>
      </c>
      <c r="K64" s="11" t="inlineStr">
        <is>
          <t>Otelin kendi sitesi</t>
        </is>
      </c>
      <c r="L64" s="11" t="inlineStr">
        <is>
          <t>https://www.embuduvillage.com/contact-us</t>
        </is>
      </c>
      <c r="M64" s="11" t="inlineStr">
        <is>
          <t>Resort: Director of Engineering / Chief Engineer, General Manager; Grup: Technical Services / Sustainability Director</t>
        </is>
      </c>
      <c r="N64" s="11" t="n">
        <v>4</v>
      </c>
      <c r="O64" s="13" t="inlineStr">
        <is>
          <t>B</t>
        </is>
      </c>
      <c r="P64" s="11" t="inlineStr">
        <is>
          <t>orta-büyük resort; bilinen GES yok -&gt; GES+ESS paketi</t>
        </is>
      </c>
    </row>
    <row r="65">
      <c r="A65" s="11" t="n">
        <v>64</v>
      </c>
      <c r="B65" s="11" t="inlineStr">
        <is>
          <t>Emerald Maldives Resort</t>
        </is>
      </c>
      <c r="C65" s="11" t="inlineStr">
        <is>
          <t>Raa</t>
        </is>
      </c>
      <c r="D65" s="11" t="inlineStr">
        <is>
          <t>Emerald Collection</t>
        </is>
      </c>
      <c r="E65" s="11" t="n">
        <v>120</v>
      </c>
      <c r="F65" s="11" t="inlineStr">
        <is>
          <t>Dizel ağırlıklı (kamuya açık GES bilgisi yok)</t>
        </is>
      </c>
      <c r="G65" s="11" t="inlineStr">
        <is>
          <t>—</t>
        </is>
      </c>
      <c r="H65" s="11" t="inlineStr">
        <is>
          <t>emeraldmaldives.com</t>
        </is>
      </c>
      <c r="I65" s="11" t="inlineStr">
        <is>
          <t>reservations@emerald-maldives.com</t>
        </is>
      </c>
      <c r="J65" s="11" t="inlineStr">
        <is>
          <t>+960 658 2100</t>
        </is>
      </c>
      <c r="K65" s="11" t="inlineStr">
        <is>
          <t>Otelin kendi sitesi</t>
        </is>
      </c>
      <c r="L65" s="11" t="inlineStr">
        <is>
          <t>https://www.emerald-maldives.com/</t>
        </is>
      </c>
      <c r="M65" s="11" t="inlineStr">
        <is>
          <t>Resort: Director of Engineering / Chief Engineer, General Manager; Grup: Technical Services / Sustainability Director</t>
        </is>
      </c>
      <c r="N65" s="11" t="n">
        <v>4</v>
      </c>
      <c r="O65" s="13" t="inlineStr">
        <is>
          <t>B</t>
        </is>
      </c>
      <c r="P65" s="11" t="inlineStr">
        <is>
          <t>orta-büyük resort; bilinen GES yok -&gt; GES+ESS paketi</t>
        </is>
      </c>
    </row>
    <row r="66">
      <c r="A66" s="11" t="n">
        <v>65</v>
      </c>
      <c r="B66" s="11" t="inlineStr">
        <is>
          <t>Faarufushi Maldives</t>
        </is>
      </c>
      <c r="C66" s="11" t="inlineStr">
        <is>
          <t>Raa</t>
        </is>
      </c>
      <c r="D66" s="11" t="inlineStr">
        <is>
          <t>Emerald Collection</t>
        </is>
      </c>
      <c r="E66" s="11" t="n">
        <v>80</v>
      </c>
      <c r="F66" s="11" t="inlineStr">
        <is>
          <t>Dizel ağırlıklı (kamuya açık GES bilgisi yok)</t>
        </is>
      </c>
      <c r="G66" s="11" t="inlineStr">
        <is>
          <t>Yeni adı Emerald Faarufushi</t>
        </is>
      </c>
      <c r="H66" s="11" t="inlineStr">
        <is>
          <t>emerald-faarufushi.com</t>
        </is>
      </c>
      <c r="I66" s="11" t="inlineStr">
        <is>
          <t>reservations@emerald-faarufushi.com</t>
        </is>
      </c>
      <c r="J66" s="11" t="inlineStr">
        <is>
          <t>+960 658 8000</t>
        </is>
      </c>
      <c r="K66" s="11" t="inlineStr">
        <is>
          <t>NOT: Yeni adı 'Emerald Faarufushi Resort &amp; Spa' (Emerald grubu) – işletmeci değişmiş</t>
        </is>
      </c>
      <c r="L66" s="11" t="inlineStr">
        <is>
          <t>https://www.emerald-faarufushi.com/</t>
        </is>
      </c>
      <c r="M66" s="11" t="inlineStr">
        <is>
          <t>Resort: Director of Engineering / Chief Engineer, General Manager; Grup: Technical Services / Sustainability Director</t>
        </is>
      </c>
      <c r="N66" s="11" t="n">
        <v>4</v>
      </c>
      <c r="O66" s="13" t="inlineStr">
        <is>
          <t>B</t>
        </is>
      </c>
      <c r="P66" s="11" t="inlineStr">
        <is>
          <t>küçük/butik resort; bilinen GES yok -&gt; GES+ESS paketi; çok-resortlu grup (tek kararla birden fazla ada)</t>
        </is>
      </c>
    </row>
    <row r="67">
      <c r="A67" s="11" t="n">
        <v>66</v>
      </c>
      <c r="B67" s="11" t="inlineStr">
        <is>
          <t>Fun Island Resort</t>
        </is>
      </c>
      <c r="C67" s="11" t="inlineStr">
        <is>
          <t>Kaafu (Güney Malé)</t>
        </is>
      </c>
      <c r="D67" s="11" t="inlineStr">
        <is>
          <t>Villa Hotels &amp; Resorts</t>
        </is>
      </c>
      <c r="E67" s="11" t="n">
        <v>100</v>
      </c>
      <c r="F67" s="11" t="inlineStr">
        <is>
          <t>Dizel ağırlıklı (kamuya açık GES bilgisi yok)</t>
        </is>
      </c>
      <c r="G67" s="11" t="inlineStr">
        <is>
          <t>—</t>
        </is>
      </c>
      <c r="H67" s="11" t="inlineStr">
        <is>
          <t>villaresorts.com</t>
        </is>
      </c>
      <c r="I67" s="11" t="inlineStr">
        <is>
          <t>hello@villaresorts.com (Villa Resorts genel)</t>
        </is>
      </c>
      <c r="J67" s="11" t="inlineStr">
        <is>
          <t>—</t>
        </is>
      </c>
      <c r="K67" s="11" t="inlineStr">
        <is>
          <t>Otele özel bilgi bulunamadı</t>
        </is>
      </c>
      <c r="L67" s="11" t="inlineStr">
        <is>
          <t>https://villaresorts.com/contact/</t>
        </is>
      </c>
      <c r="M67" s="11" t="inlineStr">
        <is>
          <t>Resort: Director of Engineering / Chief Engineer, General Manager; Grup: Technical Services / Sustainability Director</t>
        </is>
      </c>
      <c r="N67" s="11" t="n">
        <v>4</v>
      </c>
      <c r="O67" s="13" t="inlineStr">
        <is>
          <t>B</t>
        </is>
      </c>
      <c r="P67" s="11" t="inlineStr">
        <is>
          <t>küçük/butik resort; bilinen GES yok -&gt; GES+ESS paketi; çok-resortlu grup (tek kararla birden fazla ada)</t>
        </is>
      </c>
    </row>
    <row r="68">
      <c r="A68" s="11" t="n">
        <v>67</v>
      </c>
      <c r="B68" s="11" t="inlineStr">
        <is>
          <t>Gili Lankanfushi</t>
        </is>
      </c>
      <c r="C68" s="11" t="inlineStr">
        <is>
          <t>Kaafu (Kuzey Malé)</t>
        </is>
      </c>
      <c r="D68" s="11" t="inlineStr">
        <is>
          <t>Bağımsız</t>
        </is>
      </c>
      <c r="E68" s="11" t="n">
        <v>45</v>
      </c>
      <c r="F68" s="11" t="inlineStr">
        <is>
          <t>Kısmi GES, ESS yok/bilinmiyor</t>
        </is>
      </c>
      <c r="G68" s="11" t="inlineStr">
        <is>
          <t>GES bilgisi var, kapsamı doğrulanmalı</t>
        </is>
      </c>
      <c r="H68" s="11" t="inlineStr">
        <is>
          <t>gili-lankanfushi.com</t>
        </is>
      </c>
      <c r="I68" s="11" t="inlineStr">
        <is>
          <t>mr.friday@gili-lankanfushi.com</t>
        </is>
      </c>
      <c r="J68" s="11" t="inlineStr">
        <is>
          <t>+960 664 0304</t>
        </is>
      </c>
      <c r="K68" s="11" t="inlineStr">
        <is>
          <t>Otelin kendi sitesi (genel misafir hattı)</t>
        </is>
      </c>
      <c r="L68" s="11" t="inlineStr">
        <is>
          <t>https://gili-lankanfushi.com/contact-us/</t>
        </is>
      </c>
      <c r="M68" s="11" t="inlineStr">
        <is>
          <t>Resort: Director of Engineering / Chief Engineer, General Manager; Grup: Technical Services / Sustainability Director</t>
        </is>
      </c>
      <c r="N68" s="11" t="n">
        <v>4</v>
      </c>
      <c r="O68" s="13" t="inlineStr">
        <is>
          <t>B</t>
        </is>
      </c>
      <c r="P68" s="11" t="inlineStr">
        <is>
          <t>küçük/butik resort; GES var ama ESS yok -&gt; en uygun ESS ilavesi hedefi</t>
        </is>
      </c>
    </row>
    <row r="69">
      <c r="A69" s="11" t="n">
        <v>68</v>
      </c>
      <c r="B69" s="11" t="inlineStr">
        <is>
          <t>Grand Park Kodhipparu</t>
        </is>
      </c>
      <c r="C69" s="11" t="inlineStr">
        <is>
          <t>Kaafu (Kuzey Malé)</t>
        </is>
      </c>
      <c r="D69" s="11" t="inlineStr">
        <is>
          <t>Park Hotel Group</t>
        </is>
      </c>
      <c r="E69" s="11" t="n">
        <v>120</v>
      </c>
      <c r="F69" s="11" t="inlineStr">
        <is>
          <t>Dizel ağırlıklı (kamuya açık GES bilgisi yok)</t>
        </is>
      </c>
      <c r="G69" s="11" t="inlineStr">
        <is>
          <t>—</t>
        </is>
      </c>
      <c r="H69" s="11" t="inlineStr">
        <is>
          <t>grandparkkodhipparu.com</t>
        </is>
      </c>
      <c r="I69" s="11" t="inlineStr">
        <is>
          <t>info@grandparkkodhipparu.com; rsvn.gpkd@parkhotelgroup.com</t>
        </is>
      </c>
      <c r="J69" s="11" t="inlineStr">
        <is>
          <t>+960 665 1111</t>
        </is>
      </c>
      <c r="K69" s="11" t="inlineStr">
        <is>
          <t>Arama sonucu</t>
        </is>
      </c>
      <c r="L69" s="11" t="inlineStr">
        <is>
          <t>https://wetu.com/iBrochure/en/Information/141358/grand_park_kodhipparu/Contact</t>
        </is>
      </c>
      <c r="M69" s="11" t="inlineStr">
        <is>
          <t>Resort: Director of Engineering / Chief Engineer, General Manager; Grup: Technical Services / Sustainability Director</t>
        </is>
      </c>
      <c r="N69" s="11" t="n">
        <v>4</v>
      </c>
      <c r="O69" s="13" t="inlineStr">
        <is>
          <t>B</t>
        </is>
      </c>
      <c r="P69" s="11" t="inlineStr">
        <is>
          <t>orta-büyük resort; bilinen GES yok -&gt; GES+ESS paketi</t>
        </is>
      </c>
    </row>
    <row r="70">
      <c r="A70" s="11" t="n">
        <v>69</v>
      </c>
      <c r="B70" s="11" t="inlineStr">
        <is>
          <t>InterContinental Maamunagau</t>
        </is>
      </c>
      <c r="C70" s="11" t="inlineStr">
        <is>
          <t>Raa</t>
        </is>
      </c>
      <c r="D70" s="11" t="inlineStr">
        <is>
          <t>IHG markası</t>
        </is>
      </c>
      <c r="E70" s="11" t="n">
        <v>80</v>
      </c>
      <c r="F70" s="11" t="inlineStr">
        <is>
          <t>Dizel ağırlıklı (kamuya açık GES bilgisi yok)</t>
        </is>
      </c>
      <c r="G70" s="11" t="inlineStr">
        <is>
          <t>—</t>
        </is>
      </c>
      <c r="H70" s="11" t="inlineStr">
        <is>
          <t>ihg.com</t>
        </is>
      </c>
      <c r="I70" s="11" t="inlineStr">
        <is>
          <t>Intercontinental.Maldives@ihg.com</t>
        </is>
      </c>
      <c r="J70" s="11" t="inlineStr">
        <is>
          <t>+960 658 0500</t>
        </is>
      </c>
      <c r="K70" s="11" t="inlineStr">
        <is>
          <t>Otelin kendi sitesi</t>
        </is>
      </c>
      <c r="L70" s="11" t="inlineStr">
        <is>
          <t>https://maldives.intercontinental.com/contact-form/</t>
        </is>
      </c>
      <c r="M70" s="11" t="inlineStr">
        <is>
          <t>Resort: Director of Engineering / Chief Engineer, General Manager; Grup: Technical Services / Sustainability Director</t>
        </is>
      </c>
      <c r="N70" s="11" t="n">
        <v>4</v>
      </c>
      <c r="O70" s="13" t="inlineStr">
        <is>
          <t>B</t>
        </is>
      </c>
      <c r="P70" s="11" t="inlineStr">
        <is>
          <t>küçük/butik resort; bilinen GES yok -&gt; GES+ESS paketi; çok-resortlu grup (tek kararla birden fazla ada)</t>
        </is>
      </c>
    </row>
    <row r="71">
      <c r="A71" s="11" t="n">
        <v>70</v>
      </c>
      <c r="B71" s="11" t="inlineStr">
        <is>
          <t>Kandolhu Maldives</t>
        </is>
      </c>
      <c r="C71" s="11" t="inlineStr">
        <is>
          <t>Alif Alif (Kuzey Ari)</t>
        </is>
      </c>
      <c r="D71" s="11" t="inlineStr">
        <is>
          <t>VERSA Hospitality</t>
        </is>
      </c>
      <c r="E71" s="11" t="n">
        <v>30</v>
      </c>
      <c r="F71" s="11" t="inlineStr">
        <is>
          <t>Dizel ağırlıklı (kamuya açık GES bilgisi yok)</t>
        </is>
      </c>
      <c r="G71" s="11" t="inlineStr">
        <is>
          <t>—</t>
        </is>
      </c>
      <c r="H71" s="11" t="inlineStr">
        <is>
          <t>kandolhu.com</t>
        </is>
      </c>
      <c r="I71" s="11" t="inlineStr">
        <is>
          <t>info@kandolhu.com</t>
        </is>
      </c>
      <c r="J71" s="11" t="inlineStr">
        <is>
          <t>+960 668 0790</t>
        </is>
      </c>
      <c r="K71" s="11" t="inlineStr">
        <is>
          <t>Otelin kendi sitesi</t>
        </is>
      </c>
      <c r="L71" s="11" t="inlineStr">
        <is>
          <t>https://www.kandolhu.com/contact.html</t>
        </is>
      </c>
      <c r="M71" s="11" t="inlineStr">
        <is>
          <t>Resort: Director of Engineering / Chief Engineer, General Manager; Grup: Technical Services / Sustainability Director</t>
        </is>
      </c>
      <c r="N71" s="11" t="n">
        <v>4</v>
      </c>
      <c r="O71" s="13" t="inlineStr">
        <is>
          <t>B</t>
        </is>
      </c>
      <c r="P71" s="11" t="inlineStr">
        <is>
          <t>küçük/butik resort; bilinen GES yok -&gt; GES+ESS paketi; çok-resortlu grup (tek kararla birden fazla ada)</t>
        </is>
      </c>
    </row>
    <row r="72">
      <c r="A72" s="11" t="n">
        <v>71</v>
      </c>
      <c r="B72" s="11" t="inlineStr">
        <is>
          <t>Komandoo Island Resort</t>
        </is>
      </c>
      <c r="C72" s="11" t="inlineStr">
        <is>
          <t>Lhaviyani</t>
        </is>
      </c>
      <c r="D72" s="11" t="inlineStr">
        <is>
          <t>Crown &amp; Champa (Kuredu Holdings)</t>
        </is>
      </c>
      <c r="E72" s="11" t="n">
        <v>65</v>
      </c>
      <c r="F72" s="11" t="inlineStr">
        <is>
          <t>Dizel ağırlıklı (kamuya açık GES bilgisi yok)</t>
        </is>
      </c>
      <c r="G72" s="11" t="inlineStr">
        <is>
          <t>—</t>
        </is>
      </c>
      <c r="H72" s="11" t="inlineStr">
        <is>
          <t>komandoo.com</t>
        </is>
      </c>
      <c r="I72" s="11" t="inlineStr">
        <is>
          <t>reservations@komandoo.com</t>
        </is>
      </c>
      <c r="J72" s="11" t="inlineStr">
        <is>
          <t>+960 662 1010</t>
        </is>
      </c>
      <c r="K72" s="11" t="inlineStr">
        <is>
          <t>Otelin kendi sitesi</t>
        </is>
      </c>
      <c r="L72" s="11" t="inlineStr">
        <is>
          <t>https://www.komandoo.com/contact/</t>
        </is>
      </c>
      <c r="M72" s="11" t="inlineStr">
        <is>
          <t>Resort: Director of Engineering / Chief Engineer, General Manager; Grup: Technical Services / Sustainability Director</t>
        </is>
      </c>
      <c r="N72" s="11" t="n">
        <v>4</v>
      </c>
      <c r="O72" s="13" t="inlineStr">
        <is>
          <t>B</t>
        </is>
      </c>
      <c r="P72" s="11" t="inlineStr">
        <is>
          <t>küçük/butik resort; bilinen GES yok -&gt; GES+ESS paketi; çok-resortlu grup (tek kararla birden fazla ada)</t>
        </is>
      </c>
    </row>
    <row r="73">
      <c r="A73" s="11" t="n">
        <v>72</v>
      </c>
      <c r="B73" s="11" t="inlineStr">
        <is>
          <t>Milaidhoo Maldives</t>
        </is>
      </c>
      <c r="C73" s="11" t="inlineStr">
        <is>
          <t>Baa</t>
        </is>
      </c>
      <c r="D73" s="11" t="inlineStr">
        <is>
          <t>VERSA Hospitality</t>
        </is>
      </c>
      <c r="E73" s="11" t="n">
        <v>50</v>
      </c>
      <c r="F73" s="11" t="inlineStr">
        <is>
          <t>Dizel ağırlıklı (kamuya açık GES bilgisi yok)</t>
        </is>
      </c>
      <c r="G73" s="11" t="inlineStr">
        <is>
          <t>—</t>
        </is>
      </c>
      <c r="H73" s="11" t="inlineStr">
        <is>
          <t>milaidhoo.com</t>
        </is>
      </c>
      <c r="I73" s="11" t="inlineStr">
        <is>
          <t>welcome@milaidhoo.com</t>
        </is>
      </c>
      <c r="J73" s="11" t="inlineStr">
        <is>
          <t>+960 660 7788</t>
        </is>
      </c>
      <c r="K73" s="11" t="inlineStr">
        <is>
          <t>Otelin kendi sitesi (Universal Enterprises / VERSA)</t>
        </is>
      </c>
      <c r="L73" s="11" t="inlineStr">
        <is>
          <t>https://www.milaidhoo.com/contact-us.html</t>
        </is>
      </c>
      <c r="M73" s="11" t="inlineStr">
        <is>
          <t>Resort: Director of Engineering / Chief Engineer, General Manager; Grup: Technical Services / Sustainability Director</t>
        </is>
      </c>
      <c r="N73" s="11" t="n">
        <v>4</v>
      </c>
      <c r="O73" s="13" t="inlineStr">
        <is>
          <t>B</t>
        </is>
      </c>
      <c r="P73" s="11" t="inlineStr">
        <is>
          <t>küçük/butik resort; bilinen GES yok -&gt; GES+ESS paketi; çok-resortlu grup (tek kararla birden fazla ada)</t>
        </is>
      </c>
    </row>
    <row r="74">
      <c r="A74" s="11" t="n">
        <v>73</v>
      </c>
      <c r="B74" s="11" t="inlineStr">
        <is>
          <t>Reethi Beach Resort</t>
        </is>
      </c>
      <c r="C74" s="11" t="inlineStr">
        <is>
          <t>Baa</t>
        </is>
      </c>
      <c r="D74" s="11" t="inlineStr">
        <is>
          <t>NH Collection (Minor Hotels)</t>
        </is>
      </c>
      <c r="E74" s="11" t="n">
        <v>115</v>
      </c>
      <c r="F74" s="11" t="inlineStr">
        <is>
          <t>Dizel ağırlıklı (kamuya açık GES bilgisi yok)</t>
        </is>
      </c>
      <c r="G74" s="11" t="inlineStr">
        <is>
          <t>Yeni adı NH Collection Maldives Reethi</t>
        </is>
      </c>
      <c r="H74" s="11" t="inlineStr">
        <is>
          <t>nh-collection.com</t>
        </is>
      </c>
      <c r="I74" s="11" t="inlineStr">
        <is>
          <t>reethi@nhcollection.com</t>
        </is>
      </c>
      <c r="J74" s="11" t="inlineStr">
        <is>
          <t>+960 660 2626</t>
        </is>
      </c>
      <c r="K74" s="11" t="inlineStr">
        <is>
          <t>NOT: Yeni adı 'NH Collection Maldives Reethi Resort' (Minor/NH)</t>
        </is>
      </c>
      <c r="L74" s="11" t="inlineStr">
        <is>
          <t>https://www.hotelcontact.net/reethi-beach-resort-maldives-baa-en.html</t>
        </is>
      </c>
      <c r="M74" s="11" t="inlineStr">
        <is>
          <t>Resort: Director of Engineering / Chief Engineer, General Manager; Grup: Technical Services / Sustainability Director</t>
        </is>
      </c>
      <c r="N74" s="11" t="n">
        <v>4</v>
      </c>
      <c r="O74" s="13" t="inlineStr">
        <is>
          <t>B</t>
        </is>
      </c>
      <c r="P74" s="11" t="inlineStr">
        <is>
          <t>küçük/butik resort; bilinen GES yok -&gt; GES+ESS paketi; çok-resortlu grup (tek kararla birden fazla ada)</t>
        </is>
      </c>
    </row>
    <row r="75">
      <c r="A75" s="11" t="n">
        <v>74</v>
      </c>
      <c r="B75" s="11" t="inlineStr">
        <is>
          <t>Siyam World Maldives</t>
        </is>
      </c>
      <c r="C75" s="11" t="inlineStr">
        <is>
          <t>Noonu</t>
        </is>
      </c>
      <c r="D75" s="11" t="inlineStr">
        <is>
          <t>Sun Siyam Resorts</t>
        </is>
      </c>
      <c r="E75" s="11" t="n">
        <v>500</v>
      </c>
      <c r="F75" s="11" t="inlineStr">
        <is>
          <t>GES + ESS mevcut / sözleşmeli</t>
        </is>
      </c>
      <c r="G75" s="11" t="inlineStr">
        <is>
          <t>2025: GES (2,7 MW hedef) + 1.720 kWh ESS – Hayleys Fentons</t>
        </is>
      </c>
      <c r="H75" s="11" t="inlineStr">
        <is>
          <t>siyamworld.com</t>
        </is>
      </c>
      <c r="I75" s="11" t="inlineStr">
        <is>
          <t>book@sunsiyam.com (merkez)</t>
        </is>
      </c>
      <c r="J75" s="11" t="inlineStr">
        <is>
          <t>+960 656 7777</t>
        </is>
      </c>
      <c r="K75" s="11" t="inlineStr">
        <is>
          <t>Otelin kendi sitesi; otele özel e-posta gizlenmiş</t>
        </is>
      </c>
      <c r="L75" s="11" t="inlineStr">
        <is>
          <t>https://www.sunsiyam.com/siyam-world/contact-us/</t>
        </is>
      </c>
      <c r="M75" s="11" t="inlineStr">
        <is>
          <t>Resort: Director of Engineering / Chief Engineer, General Manager; Grup: Technical Services / Sustainability Director</t>
        </is>
      </c>
      <c r="N75" s="11" t="n">
        <v>4</v>
      </c>
      <c r="O75" s="13" t="inlineStr">
        <is>
          <t>B</t>
        </is>
      </c>
      <c r="P75" s="11" t="inlineStr">
        <is>
          <t>büyük resort (yüksek dizel tüketimi); rakip GES+ESS kurmuş -&gt; sadece genişleme/servis; çok-resortlu grup (tek kararla birden fazla ada)</t>
        </is>
      </c>
    </row>
    <row r="76">
      <c r="A76" s="11" t="n">
        <v>75</v>
      </c>
      <c r="B76" s="11" t="inlineStr">
        <is>
          <t>Sun Siyam Vilu Reef</t>
        </is>
      </c>
      <c r="C76" s="11" t="inlineStr">
        <is>
          <t>Dhaalu</t>
        </is>
      </c>
      <c r="D76" s="11" t="inlineStr">
        <is>
          <t>Sun Siyam Resorts</t>
        </is>
      </c>
      <c r="E76" s="11" t="n">
        <v>100</v>
      </c>
      <c r="F76" s="11" t="inlineStr">
        <is>
          <t>Dizel ağırlıklı (kamuya açık GES bilgisi yok)</t>
        </is>
      </c>
      <c r="G76" s="11" t="inlineStr">
        <is>
          <t>Grup 2. faz adayı</t>
        </is>
      </c>
      <c r="H76" s="11" t="inlineStr">
        <is>
          <t>sunsiyam.com</t>
        </is>
      </c>
      <c r="I76" s="11" t="inlineStr">
        <is>
          <t>info.vilureef@sunsiyam.com</t>
        </is>
      </c>
      <c r="J76" s="11" t="inlineStr">
        <is>
          <t>+960 676 0011</t>
        </is>
      </c>
      <c r="K76" s="11" t="inlineStr">
        <is>
          <t>Otelin kendi sitesi</t>
        </is>
      </c>
      <c r="L76" s="11" t="inlineStr">
        <is>
          <t>https://www.sunsiyam.com/sun-siyam-vilu-reef/contact-us/</t>
        </is>
      </c>
      <c r="M76" s="11" t="inlineStr">
        <is>
          <t>Resort: Director of Engineering / Chief Engineer, General Manager; Grup: Technical Services / Sustainability Director</t>
        </is>
      </c>
      <c r="N76" s="11" t="n">
        <v>4</v>
      </c>
      <c r="O76" s="13" t="inlineStr">
        <is>
          <t>B</t>
        </is>
      </c>
      <c r="P76" s="11" t="inlineStr">
        <is>
          <t>küçük/butik resort; bilinen GES yok -&gt; GES+ESS paketi; çok-resortlu grup (tek kararla birden fazla ada)</t>
        </is>
      </c>
    </row>
    <row r="77">
      <c r="A77" s="11" t="n">
        <v>76</v>
      </c>
      <c r="B77" s="11" t="inlineStr">
        <is>
          <t>Vilamendhoo Island Resort</t>
        </is>
      </c>
      <c r="C77" s="11" t="inlineStr">
        <is>
          <t>Alif Dhaal (Güney Ari)</t>
        </is>
      </c>
      <c r="D77" s="11" t="inlineStr">
        <is>
          <t>Bağımsız</t>
        </is>
      </c>
      <c r="E77" s="11" t="n">
        <v>180</v>
      </c>
      <c r="F77" s="11" t="inlineStr">
        <is>
          <t>Dizel ağırlıklı (kamuya açık GES bilgisi yok)</t>
        </is>
      </c>
      <c r="G77" s="11" t="inlineStr">
        <is>
          <t>—</t>
        </is>
      </c>
      <c r="H77" s="11" t="inlineStr">
        <is>
          <t>vilamendhoo.com</t>
        </is>
      </c>
      <c r="I77" s="11" t="inlineStr">
        <is>
          <t>reservations@vilamendhoo.com</t>
        </is>
      </c>
      <c r="J77" s="11" t="inlineStr">
        <is>
          <t>+960 668 0637</t>
        </is>
      </c>
      <c r="K77" s="11" t="inlineStr">
        <is>
          <t>Otelin kendi sitesi</t>
        </is>
      </c>
      <c r="L77" s="11" t="inlineStr">
        <is>
          <t>https://www.vilamendhoo.com/contact-us.html</t>
        </is>
      </c>
      <c r="M77" s="11" t="inlineStr">
        <is>
          <t>Resort: Director of Engineering / Chief Engineer, General Manager; Grup: Technical Services / Sustainability Director</t>
        </is>
      </c>
      <c r="N77" s="11" t="n">
        <v>4</v>
      </c>
      <c r="O77" s="13" t="inlineStr">
        <is>
          <t>B</t>
        </is>
      </c>
      <c r="P77" s="11" t="inlineStr">
        <is>
          <t>orta-büyük resort; bilinen GES yok -&gt; GES+ESS paketi</t>
        </is>
      </c>
    </row>
    <row r="78">
      <c r="A78" s="11" t="n">
        <v>77</v>
      </c>
      <c r="B78" s="11" t="inlineStr">
        <is>
          <t>Biyadhoo Island Resort</t>
        </is>
      </c>
      <c r="C78" s="11" t="inlineStr">
        <is>
          <t>Kaafu (Güney Malé)</t>
        </is>
      </c>
      <c r="D78" s="11" t="inlineStr">
        <is>
          <t>Bağımsız</t>
        </is>
      </c>
      <c r="E78" s="11" t="n">
        <v>96</v>
      </c>
      <c r="F78" s="11" t="inlineStr">
        <is>
          <t>Dizel ağırlıklı (kamuya açık GES bilgisi yok)</t>
        </is>
      </c>
      <c r="G78" s="11" t="inlineStr">
        <is>
          <t>—</t>
        </is>
      </c>
      <c r="H78" s="11" t="inlineStr">
        <is>
          <t>biyadhoo.com</t>
        </is>
      </c>
      <c r="I78" s="11" t="inlineStr">
        <is>
          <t>biyadhoo@sunland.com.mv</t>
        </is>
      </c>
      <c r="J78" s="11" t="inlineStr">
        <is>
          <t>+960 664 7171</t>
        </is>
      </c>
      <c r="K78" s="11" t="inlineStr">
        <is>
          <t>Arama sonucu (Sunland grubu)</t>
        </is>
      </c>
      <c r="L78" s="11" t="inlineStr">
        <is>
          <t>https://www.tripadvisor.com/ShowTopic-g298335-i9918-k6983585-How_to_contact_Biyadhoo_Island_Resort_in_Maldives-South_Male_Atoll.html</t>
        </is>
      </c>
      <c r="M78" s="11" t="inlineStr">
        <is>
          <t>Resort: Director of Engineering / Chief Engineer, General Manager; Grup: Technical Services / Sustainability Director</t>
        </is>
      </c>
      <c r="N78" s="11" t="n">
        <v>3</v>
      </c>
      <c r="O78" s="14" t="inlineStr">
        <is>
          <t>C</t>
        </is>
      </c>
      <c r="P78" s="11" t="inlineStr">
        <is>
          <t>küçük/butik resort; bilinen GES yok -&gt; GES+ESS paketi</t>
        </is>
      </c>
    </row>
    <row r="79">
      <c r="A79" s="11" t="n">
        <v>78</v>
      </c>
      <c r="B79" s="11" t="inlineStr">
        <is>
          <t>Malahini Kuda Bandos</t>
        </is>
      </c>
      <c r="C79" s="11" t="inlineStr">
        <is>
          <t>Kaafu (Kuzey Malé)</t>
        </is>
      </c>
      <c r="D79" s="11" t="inlineStr">
        <is>
          <t>Bağımsız</t>
        </is>
      </c>
      <c r="E79" s="11" t="n">
        <v>70</v>
      </c>
      <c r="F79" s="11" t="inlineStr">
        <is>
          <t>Dizel ağırlıklı (kamuya açık GES bilgisi yok)</t>
        </is>
      </c>
      <c r="G79" s="11" t="inlineStr">
        <is>
          <t>Akademik GES+ESS fizibilite çalışmasına konu oldu</t>
        </is>
      </c>
      <c r="H79" s="11" t="inlineStr">
        <is>
          <t>malahini.com</t>
        </is>
      </c>
      <c r="I79" s="11" t="inlineStr">
        <is>
          <t>reservations@malahini.mv</t>
        </is>
      </c>
      <c r="J79" s="11" t="inlineStr">
        <is>
          <t>+960 664 4556</t>
        </is>
      </c>
      <c r="K79" s="11" t="inlineStr">
        <is>
          <t>Otelin kendi sitesi (malahini.mv)</t>
        </is>
      </c>
      <c r="L79" s="11" t="inlineStr">
        <is>
          <t>https://malahini.mv/</t>
        </is>
      </c>
      <c r="M79" s="11" t="inlineStr">
        <is>
          <t>Resort: Director of Engineering / Chief Engineer, General Manager; Grup: Technical Services / Sustainability Director</t>
        </is>
      </c>
      <c r="N79" s="11" t="n">
        <v>3</v>
      </c>
      <c r="O79" s="14" t="inlineStr">
        <is>
          <t>C</t>
        </is>
      </c>
      <c r="P79" s="11" t="inlineStr">
        <is>
          <t>küçük/butik resort; bilinen GES yok -&gt; GES+ESS paketi</t>
        </is>
      </c>
    </row>
    <row r="80">
      <c r="A80" s="11" t="n">
        <v>79</v>
      </c>
      <c r="B80" s="11" t="inlineStr">
        <is>
          <t>Summer Island Maldives</t>
        </is>
      </c>
      <c r="C80" s="11" t="inlineStr">
        <is>
          <t>Kaafu (Kuzey Malé)</t>
        </is>
      </c>
      <c r="D80" s="11" t="inlineStr">
        <is>
          <t>Bağımsız</t>
        </is>
      </c>
      <c r="E80" s="11" t="n">
        <v>110</v>
      </c>
      <c r="F80" s="11" t="inlineStr">
        <is>
          <t>Dizel ağırlıklı (kamuya açık GES bilgisi yok)</t>
        </is>
      </c>
      <c r="G80" s="11" t="inlineStr">
        <is>
          <t>—</t>
        </is>
      </c>
      <c r="H80" s="11" t="inlineStr">
        <is>
          <t>summerislandmaldives.com</t>
        </is>
      </c>
      <c r="I80" s="11" t="inlineStr">
        <is>
          <t>reservations@summerislandmaldives.com</t>
        </is>
      </c>
      <c r="J80" s="11" t="inlineStr">
        <is>
          <t>+960 664 1949</t>
        </is>
      </c>
      <c r="K80" s="11" t="inlineStr">
        <is>
          <t>Otelin kendi sitesi</t>
        </is>
      </c>
      <c r="L80" s="11" t="inlineStr">
        <is>
          <t>https://www.summerislandmaldives.com/contact-us</t>
        </is>
      </c>
      <c r="M80" s="11" t="inlineStr">
        <is>
          <t>Resort: Director of Engineering / Chief Engineer, General Manager; Grup: Technical Services / Sustainability Director</t>
        </is>
      </c>
      <c r="N80" s="11" t="n">
        <v>3</v>
      </c>
      <c r="O80" s="14" t="inlineStr">
        <is>
          <t>C</t>
        </is>
      </c>
      <c r="P80" s="11" t="inlineStr">
        <is>
          <t>küçük/butik resort; bilinen GES yok -&gt; GES+ESS paketi</t>
        </is>
      </c>
    </row>
    <row r="81">
      <c r="A81" s="11" t="n">
        <v>80</v>
      </c>
      <c r="B81" s="11" t="inlineStr">
        <is>
          <t>Sun Siyam Olhuveli</t>
        </is>
      </c>
      <c r="C81" s="11" t="inlineStr">
        <is>
          <t>Kaafu (Güney Malé)</t>
        </is>
      </c>
      <c r="D81" s="11" t="inlineStr">
        <is>
          <t>Sun Siyam Resorts</t>
        </is>
      </c>
      <c r="E81" s="11" t="n">
        <v>200</v>
      </c>
      <c r="F81" s="11" t="inlineStr">
        <is>
          <t>GES + ESS mevcut / sözleşmeli</t>
        </is>
      </c>
      <c r="G81" s="11" t="inlineStr">
        <is>
          <t>2025: GES + 537,5 kWh ESS – Hayleys Fentons</t>
        </is>
      </c>
      <c r="H81" s="11" t="inlineStr">
        <is>
          <t>sunsiyam.com</t>
        </is>
      </c>
      <c r="I81" s="11" t="inlineStr">
        <is>
          <t>ecommerce.olhuveli@sunsiyam.com</t>
        </is>
      </c>
      <c r="J81" s="11" t="inlineStr">
        <is>
          <t>+960 664 2788</t>
        </is>
      </c>
      <c r="K81" s="11" t="inlineStr">
        <is>
          <t>Otelin kendi sitesi</t>
        </is>
      </c>
      <c r="L81" s="11" t="inlineStr">
        <is>
          <t>https://www.sunsiyam.com/sun-siyam-olhuveli/contact-us/</t>
        </is>
      </c>
      <c r="M81" s="11" t="inlineStr">
        <is>
          <t>Resort: Director of Engineering / Chief Engineer, General Manager; Grup: Technical Services / Sustainability Director</t>
        </is>
      </c>
      <c r="N81" s="11" t="n">
        <v>3</v>
      </c>
      <c r="O81" s="14" t="inlineStr">
        <is>
          <t>C</t>
        </is>
      </c>
      <c r="P81" s="11" t="inlineStr">
        <is>
          <t>orta-büyük resort; rakip GES+ESS kurmuş -&gt; sadece genişleme/servis; çok-resortlu grup (tek kararla birden fazla ada)</t>
        </is>
      </c>
    </row>
    <row r="82">
      <c r="A82" s="11" t="n">
        <v>81</v>
      </c>
      <c r="B82" s="11" t="inlineStr">
        <is>
          <t>Cheval Blanc Randheli</t>
        </is>
      </c>
      <c r="C82" s="11" t="inlineStr">
        <is>
          <t>Noonu</t>
        </is>
      </c>
      <c r="D82" s="11" t="inlineStr">
        <is>
          <t>LVMH</t>
        </is>
      </c>
      <c r="E82" s="11" t="n">
        <v>46</v>
      </c>
      <c r="F82" s="11" t="inlineStr">
        <is>
          <t>GES + ESS mevcut / sözleşmeli</t>
        </is>
      </c>
      <c r="G82" s="11" t="inlineStr">
        <is>
          <t>Swimsol 2.421 kWp yüzer GES + 1.953 kWh ESS</t>
        </is>
      </c>
      <c r="H82" s="11" t="inlineStr">
        <is>
          <t>chevalblanc.com</t>
        </is>
      </c>
      <c r="I82" s="11" t="inlineStr">
        <is>
          <t>—</t>
        </is>
      </c>
      <c r="J82" s="11" t="inlineStr">
        <is>
          <t>—</t>
        </is>
      </c>
      <c r="K82" s="11" t="inlineStr">
        <is>
          <t>Web sitesindeki 'Contact' sayfası (genel e-posta/telefon buradan teyit edilmeli)</t>
        </is>
      </c>
      <c r="L82" s="11" t="inlineStr">
        <is>
          <t>—</t>
        </is>
      </c>
      <c r="M82" s="11" t="inlineStr">
        <is>
          <t>Resort: Director of Engineering / Chief Engineer, General Manager; Grup: Technical Services / Sustainability Director</t>
        </is>
      </c>
      <c r="N82" s="11" t="n">
        <v>2</v>
      </c>
      <c r="O82" s="14" t="inlineStr">
        <is>
          <t>C</t>
        </is>
      </c>
      <c r="P82" s="11" t="inlineStr">
        <is>
          <t>küçük/butik resort; rakip GES+ESS kurmuş -&gt; sadece genişleme/servis; çok-resortlu grup (tek kararla birden fazla ada)</t>
        </is>
      </c>
    </row>
    <row r="83">
      <c r="A83" s="11" t="n">
        <v>82</v>
      </c>
      <c r="B83" s="11" t="inlineStr">
        <is>
          <t>Kudadoo Maldives Private Island</t>
        </is>
      </c>
      <c r="C83" s="11" t="inlineStr">
        <is>
          <t>Lhaviyani</t>
        </is>
      </c>
      <c r="D83" s="11" t="inlineStr">
        <is>
          <t>Crown &amp; Champa Resorts</t>
        </is>
      </c>
      <c r="E83" s="11" t="n">
        <v>15</v>
      </c>
      <c r="F83" s="11" t="inlineStr">
        <is>
          <t>GES + ESS mevcut / sözleşmeli</t>
        </is>
      </c>
      <c r="G83" s="11" t="inlineStr">
        <is>
          <t>Tamamen güneş enerjili olarak tasarlandı</t>
        </is>
      </c>
      <c r="H83" s="11" t="inlineStr">
        <is>
          <t>kudadoo.com</t>
        </is>
      </c>
      <c r="I83" s="11" t="inlineStr">
        <is>
          <t>—</t>
        </is>
      </c>
      <c r="J83" s="11" t="inlineStr">
        <is>
          <t>—</t>
        </is>
      </c>
      <c r="K83" s="11" t="inlineStr">
        <is>
          <t>Web sitesindeki 'Contact' sayfası (genel e-posta/telefon buradan teyit edilmeli)</t>
        </is>
      </c>
      <c r="L83" s="11" t="inlineStr">
        <is>
          <t>—</t>
        </is>
      </c>
      <c r="M83" s="11" t="inlineStr">
        <is>
          <t>Resort: Director of Engineering / Chief Engineer, General Manager; Grup: Technical Services / Sustainability Director</t>
        </is>
      </c>
      <c r="N83" s="11" t="n">
        <v>2</v>
      </c>
      <c r="O83" s="14" t="inlineStr">
        <is>
          <t>C</t>
        </is>
      </c>
      <c r="P83" s="11" t="inlineStr">
        <is>
          <t>küçük/butik resort; rakip GES+ESS kurmuş -&gt; sadece genişleme/servis; çok-resortlu grup (tek kararla birden fazla ada)</t>
        </is>
      </c>
    </row>
    <row r="84">
      <c r="A84" s="11" t="n">
        <v>83</v>
      </c>
      <c r="B84" s="11" t="inlineStr">
        <is>
          <t>Patina Maldives (Fari Islands)</t>
        </is>
      </c>
      <c r="C84" s="11" t="inlineStr">
        <is>
          <t>Kaafu (Kuzey Malé)</t>
        </is>
      </c>
      <c r="D84" s="11" t="inlineStr">
        <is>
          <t>Pontiac Land</t>
        </is>
      </c>
      <c r="E84" s="11" t="n">
        <v>110</v>
      </c>
      <c r="F84" s="11" t="inlineStr">
        <is>
          <t>GES + ESS mevcut / sözleşmeli</t>
        </is>
      </c>
      <c r="G84" s="11" t="inlineStr">
        <is>
          <t>~3 MWp GES + 2 MWh ESS; Fari toplam 6,4 MW</t>
        </is>
      </c>
      <c r="H84" s="11" t="inlineStr">
        <is>
          <t>patinahotels.com</t>
        </is>
      </c>
      <c r="I84" s="11" t="inlineStr">
        <is>
          <t>—</t>
        </is>
      </c>
      <c r="J84" s="11" t="inlineStr">
        <is>
          <t>—</t>
        </is>
      </c>
      <c r="K84" s="11" t="inlineStr">
        <is>
          <t>Web sitesindeki 'Contact' sayfası (genel e-posta/telefon buradan teyit edilmeli)</t>
        </is>
      </c>
      <c r="L84" s="11" t="inlineStr">
        <is>
          <t>—</t>
        </is>
      </c>
      <c r="M84" s="11" t="inlineStr">
        <is>
          <t>Resort: Director of Engineering / Chief Engineer, General Manager; Grup: Technical Services / Sustainability Director</t>
        </is>
      </c>
      <c r="N84" s="11" t="n">
        <v>2</v>
      </c>
      <c r="O84" s="14" t="inlineStr">
        <is>
          <t>C</t>
        </is>
      </c>
      <c r="P84" s="11" t="inlineStr">
        <is>
          <t>küçük/butik resort; rakip GES+ESS kurmuş -&gt; sadece genişleme/servis; çok-resortlu grup (tek kararla birden fazla ada)</t>
        </is>
      </c>
    </row>
    <row r="85">
      <c r="A85" s="11" t="n">
        <v>84</v>
      </c>
      <c r="B85" s="11" t="inlineStr">
        <is>
          <t>Soneva Fushi</t>
        </is>
      </c>
      <c r="C85" s="11" t="inlineStr">
        <is>
          <t>Baa</t>
        </is>
      </c>
      <c r="D85" s="11" t="inlineStr">
        <is>
          <t>Soneva</t>
        </is>
      </c>
      <c r="E85" s="11" t="n">
        <v>70</v>
      </c>
      <c r="F85" s="11" t="inlineStr">
        <is>
          <t>GES + ESS mevcut / sözleşmeli</t>
        </is>
      </c>
      <c r="G85" s="11" t="inlineStr">
        <is>
          <t>Canopy Power GES + ESS (~%60 yenilenebilir)</t>
        </is>
      </c>
      <c r="H85" s="11" t="inlineStr">
        <is>
          <t>soneva.com</t>
        </is>
      </c>
      <c r="I85" s="11" t="inlineStr">
        <is>
          <t>—</t>
        </is>
      </c>
      <c r="J85" s="11" t="inlineStr">
        <is>
          <t>—</t>
        </is>
      </c>
      <c r="K85" s="11" t="inlineStr">
        <is>
          <t>Web sitesindeki 'Contact' sayfası (genel e-posta/telefon buradan teyit edilmeli)</t>
        </is>
      </c>
      <c r="L85" s="11" t="inlineStr">
        <is>
          <t>—</t>
        </is>
      </c>
      <c r="M85" s="11" t="inlineStr">
        <is>
          <t>Resort: Director of Engineering / Chief Engineer, General Manager; Grup: Technical Services / Sustainability Director</t>
        </is>
      </c>
      <c r="N85" s="11" t="n">
        <v>2</v>
      </c>
      <c r="O85" s="14" t="inlineStr">
        <is>
          <t>C</t>
        </is>
      </c>
      <c r="P85" s="11" t="inlineStr">
        <is>
          <t>küçük/butik resort; rakip GES+ESS kurmuş -&gt; sadece genişleme/servis; çok-resortlu grup (tek kararla birden fazla ada)</t>
        </is>
      </c>
    </row>
    <row r="86">
      <c r="A86" s="11" t="n">
        <v>85</v>
      </c>
      <c r="B86" s="11" t="inlineStr">
        <is>
          <t>Soneva Jani</t>
        </is>
      </c>
      <c r="C86" s="11" t="inlineStr">
        <is>
          <t>Noonu</t>
        </is>
      </c>
      <c r="D86" s="11" t="inlineStr">
        <is>
          <t>Soneva</t>
        </is>
      </c>
      <c r="E86" s="11" t="n">
        <v>51</v>
      </c>
      <c r="F86" s="11" t="inlineStr">
        <is>
          <t>GES + ESS mevcut / sözleşmeli</t>
        </is>
      </c>
      <c r="G86" s="11" t="inlineStr">
        <is>
          <t>Canopy Power GES + ESS</t>
        </is>
      </c>
      <c r="H86" s="11" t="inlineStr">
        <is>
          <t>soneva.com</t>
        </is>
      </c>
      <c r="I86" s="11" t="inlineStr">
        <is>
          <t>—</t>
        </is>
      </c>
      <c r="J86" s="11" t="inlineStr">
        <is>
          <t>—</t>
        </is>
      </c>
      <c r="K86" s="11" t="inlineStr">
        <is>
          <t>Web sitesindeki 'Contact' sayfası (genel e-posta/telefon buradan teyit edilmeli)</t>
        </is>
      </c>
      <c r="L86" s="11" t="inlineStr">
        <is>
          <t>—</t>
        </is>
      </c>
      <c r="M86" s="11" t="inlineStr">
        <is>
          <t>Resort: Director of Engineering / Chief Engineer, General Manager; Grup: Technical Services / Sustainability Director</t>
        </is>
      </c>
      <c r="N86" s="11" t="n">
        <v>2</v>
      </c>
      <c r="O86" s="14" t="inlineStr">
        <is>
          <t>C</t>
        </is>
      </c>
      <c r="P86" s="11" t="inlineStr">
        <is>
          <t>küçük/butik resort; rakip GES+ESS kurmuş -&gt; sadece genişleme/servis; çok-resortlu grup (tek kararla birden fazla ada)</t>
        </is>
      </c>
    </row>
    <row r="87">
      <c r="A87" s="11" t="n">
        <v>86</v>
      </c>
      <c r="B87" s="11" t="inlineStr">
        <is>
          <t>Soneva Secret</t>
        </is>
      </c>
      <c r="C87" s="11" t="inlineStr">
        <is>
          <t>Haa Dhaalu</t>
        </is>
      </c>
      <c r="D87" s="11" t="inlineStr">
        <is>
          <t>Soneva</t>
        </is>
      </c>
      <c r="E87" s="11" t="n">
        <v>14</v>
      </c>
      <c r="F87" s="11" t="inlineStr">
        <is>
          <t>GES + ESS mevcut / sözleşmeli</t>
        </is>
      </c>
      <c r="G87" s="11" t="inlineStr">
        <is>
          <t>Canopy Power 2 MWp yüzer GES + 3 MWh Huawei ESS</t>
        </is>
      </c>
      <c r="H87" s="11" t="inlineStr">
        <is>
          <t>soneva.com</t>
        </is>
      </c>
      <c r="I87" s="11" t="inlineStr">
        <is>
          <t>—</t>
        </is>
      </c>
      <c r="J87" s="11" t="inlineStr">
        <is>
          <t>—</t>
        </is>
      </c>
      <c r="K87" s="11" t="inlineStr">
        <is>
          <t>Web sitesindeki 'Contact' sayfası (genel e-posta/telefon buradan teyit edilmeli)</t>
        </is>
      </c>
      <c r="L87" s="11" t="inlineStr">
        <is>
          <t>—</t>
        </is>
      </c>
      <c r="M87" s="11" t="inlineStr">
        <is>
          <t>Resort: Director of Engineering / Chief Engineer, General Manager; Grup: Technical Services / Sustainability Director</t>
        </is>
      </c>
      <c r="N87" s="11" t="n">
        <v>2</v>
      </c>
      <c r="O87" s="14" t="inlineStr">
        <is>
          <t>C</t>
        </is>
      </c>
      <c r="P87" s="11" t="inlineStr">
        <is>
          <t>küçük/butik resort; rakip GES+ESS kurmuş -&gt; sadece genişleme/servis; çok-resortlu grup (tek kararla birden fazla ada)</t>
        </is>
      </c>
    </row>
    <row r="88">
      <c r="A88" s="11" t="n">
        <v>87</v>
      </c>
      <c r="B88" s="11" t="inlineStr">
        <is>
          <t>The Ritz-Carlton Maldives (Fari Islands)</t>
        </is>
      </c>
      <c r="C88" s="11" t="inlineStr">
        <is>
          <t>Kaafu (Kuzey Malé)</t>
        </is>
      </c>
      <c r="D88" s="11" t="inlineStr">
        <is>
          <t>Pontiac Land / Marriott</t>
        </is>
      </c>
      <c r="E88" s="11" t="n">
        <v>100</v>
      </c>
      <c r="F88" s="11" t="inlineStr">
        <is>
          <t>GES + ESS mevcut / sözleşmeli</t>
        </is>
      </c>
      <c r="G88" s="11" t="inlineStr">
        <is>
          <t>983 kW çatı GES; Fari ortak mikro şebeke</t>
        </is>
      </c>
      <c r="H88" s="11" t="inlineStr">
        <is>
          <t>ritzcarlton.com</t>
        </is>
      </c>
      <c r="I88" s="11" t="inlineStr">
        <is>
          <t>—</t>
        </is>
      </c>
      <c r="J88" s="11" t="inlineStr">
        <is>
          <t>—</t>
        </is>
      </c>
      <c r="K88" s="11" t="inlineStr">
        <is>
          <t>Web sitesindeki 'Contact' sayfası (genel e-posta/telefon buradan teyit edilmeli)</t>
        </is>
      </c>
      <c r="L88" s="11" t="inlineStr">
        <is>
          <t>—</t>
        </is>
      </c>
      <c r="M88" s="11" t="inlineStr">
        <is>
          <t>Resort: Director of Engineering / Chief Engineer, General Manager; Grup: Technical Services / Sustainability Director</t>
        </is>
      </c>
      <c r="N88" s="11" t="n">
        <v>2</v>
      </c>
      <c r="O88" s="14" t="inlineStr">
        <is>
          <t>C</t>
        </is>
      </c>
      <c r="P88" s="11" t="inlineStr">
        <is>
          <t>küçük/butik resort; rakip GES+ESS kurmuş -&gt; sadece genişleme/servis; çok-resortlu grup (tek kararla birden fazla ada)</t>
        </is>
      </c>
    </row>
    <row r="89">
      <c r="A89" s="11" t="n">
        <v>88</v>
      </c>
      <c r="B89" s="11" t="inlineStr">
        <is>
          <t>Veligandu Maldives</t>
        </is>
      </c>
      <c r="C89" s="11" t="inlineStr">
        <is>
          <t>Alif Alif (Rasdhoo)</t>
        </is>
      </c>
      <c r="D89" s="11" t="inlineStr">
        <is>
          <t>Crown &amp; Champa Resorts</t>
        </is>
      </c>
      <c r="E89" s="11" t="n">
        <v>100</v>
      </c>
      <c r="F89" s="11" t="inlineStr">
        <is>
          <t>GES + ESS mevcut / sözleşmeli</t>
        </is>
      </c>
      <c r="G89" s="11" t="inlineStr">
        <is>
          <t>1.441 kW GES + 1.668 kWh ESS (Eyl. 2025)</t>
        </is>
      </c>
      <c r="H89" s="11" t="inlineStr">
        <is>
          <t>veligandu.com</t>
        </is>
      </c>
      <c r="I89" s="11" t="inlineStr">
        <is>
          <t>—</t>
        </is>
      </c>
      <c r="J89" s="11" t="inlineStr">
        <is>
          <t>+960 666 0519</t>
        </is>
      </c>
      <c r="K89" s="11" t="inlineStr">
        <is>
          <t>Otelin kendi sitesi; e-posta gizlenmiş</t>
        </is>
      </c>
      <c r="L89" s="11" t="inlineStr">
        <is>
          <t>https://veligandu.com/contact/</t>
        </is>
      </c>
      <c r="M89" s="11" t="inlineStr">
        <is>
          <t>Resort: Director of Engineering / Chief Engineer, General Manager; Grup: Technical Services / Sustainability Director</t>
        </is>
      </c>
      <c r="N89" s="11" t="n">
        <v>2</v>
      </c>
      <c r="O89" s="14" t="inlineStr">
        <is>
          <t>C</t>
        </is>
      </c>
      <c r="P89" s="11" t="inlineStr">
        <is>
          <t>küçük/butik resort; rakip GES+ESS kurmuş -&gt; sadece genişleme/servis; çok-resortlu grup (tek kararla birden fazla ada)</t>
        </is>
      </c>
    </row>
    <row r="90">
      <c r="A90" s="11" t="n">
        <v>89</v>
      </c>
      <c r="B90" s="11" t="inlineStr">
        <is>
          <t>RAH GILI MALDIVES</t>
        </is>
      </c>
      <c r="C90" s="11" t="inlineStr">
        <is>
          <t>Kaafu (Güney Malé)</t>
        </is>
      </c>
      <c r="D90" s="11" t="inlineStr">
        <is>
          <t>Bağımsız</t>
        </is>
      </c>
      <c r="E90" s="11" t="inlineStr">
        <is>
          <t>Doğrulanmalı</t>
        </is>
      </c>
      <c r="F90" s="11" t="inlineStr">
        <is>
          <t>GES + ESS mevcut / sözleşmeli</t>
        </is>
      </c>
      <c r="G90" s="11" t="inlineStr">
        <is>
          <t>2 MW GES + 2.500 kWh ESS; günlük ~17.000 kWh tüketim</t>
        </is>
      </c>
      <c r="H90" s="11" t="inlineStr">
        <is>
          <t>rahgili.com</t>
        </is>
      </c>
      <c r="I90" s="11" t="inlineStr">
        <is>
          <t>reservations@rahgili.com</t>
        </is>
      </c>
      <c r="J90" s="11" t="inlineStr">
        <is>
          <t>+960 401 4001</t>
        </is>
      </c>
      <c r="K90" s="11" t="inlineStr">
        <is>
          <t>Otelin kendi sitesi</t>
        </is>
      </c>
      <c r="L90" s="11" t="inlineStr">
        <is>
          <t>https://rahgili.com/contact-us</t>
        </is>
      </c>
      <c r="M90" s="11" t="inlineStr">
        <is>
          <t>Resort: Director of Engineering / Chief Engineer, General Manager; Grup: Technical Services / Sustainability Director</t>
        </is>
      </c>
      <c r="N90" s="11" t="n">
        <v>1</v>
      </c>
      <c r="O90" s="14" t="inlineStr">
        <is>
          <t>C</t>
        </is>
      </c>
      <c r="P90" s="11" t="inlineStr">
        <is>
          <t>oda sayısı doğrulanmalı; rakip GES+ESS kurmuş -&gt; sadece genişleme/servis</t>
        </is>
      </c>
    </row>
    <row r="91">
      <c r="A91" s="11" t="n">
        <v>90</v>
      </c>
      <c r="B91" s="11" t="inlineStr">
        <is>
          <t>Royal Rosewood Resort Island</t>
        </is>
      </c>
      <c r="C91" s="11" t="inlineStr">
        <is>
          <t>Doğrulanmalı</t>
        </is>
      </c>
      <c r="D91" s="11" t="inlineStr">
        <is>
          <t>Doğrulanmalı</t>
        </is>
      </c>
      <c r="E91" s="11" t="inlineStr">
        <is>
          <t>Doğrulanmalı</t>
        </is>
      </c>
      <c r="F91" s="11" t="inlineStr">
        <is>
          <t>GES + ESS mevcut / sözleşmeli</t>
        </is>
      </c>
      <c r="G91" s="11" t="inlineStr">
        <is>
          <t>Solmacher: 16 MWp GES + 40 MWh Huawei ESS (2026 sözleşme)</t>
        </is>
      </c>
      <c r="H91" s="11" t="inlineStr">
        <is>
          <t>—</t>
        </is>
      </c>
      <c r="I91" s="11" t="inlineStr">
        <is>
          <t>—</t>
        </is>
      </c>
      <c r="J91" s="11" t="inlineStr">
        <is>
          <t>—</t>
        </is>
      </c>
      <c r="K91" s="11" t="inlineStr">
        <is>
          <t>Bulunamadı (yeni proje / doğrulanmalı)</t>
        </is>
      </c>
      <c r="L91" s="11" t="inlineStr">
        <is>
          <t>—</t>
        </is>
      </c>
      <c r="M91" s="11" t="inlineStr">
        <is>
          <t>Resort: Director of Engineering / Chief Engineer, General Manager; Grup: Technical Services / Sustainability Director</t>
        </is>
      </c>
      <c r="N91" s="11" t="n">
        <v>1</v>
      </c>
      <c r="O91" s="14" t="inlineStr">
        <is>
          <t>C</t>
        </is>
      </c>
      <c r="P91" s="11" t="inlineStr">
        <is>
          <t>oda sayısı doğrulanmalı; rakip GES+ESS kurmuş -&gt; sadece genişleme/servis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44" customWidth="1" min="4" max="4"/>
    <col width="60" customWidth="1" min="5" max="5"/>
    <col width="26" customWidth="1" min="6" max="6"/>
    <col width="9" customWidth="1" min="7" max="7"/>
    <col width="36" customWidth="1" min="8" max="8"/>
    <col width="20" customWidth="1" min="9" max="9"/>
    <col width="40" customWidth="1" min="10" max="10"/>
    <col width="40" customWidth="1" min="11" max="11"/>
    <col width="26" customWidth="1" min="12" max="12"/>
  </cols>
  <sheetData>
    <row r="1" ht="32" customHeight="1">
      <c r="A1" s="4" t="inlineStr">
        <is>
          <t>Grup</t>
        </is>
      </c>
      <c r="B1" s="4" t="inlineStr">
        <is>
          <t>Merkez</t>
        </is>
      </c>
      <c r="C1" s="4" t="inlineStr">
        <is>
          <t>Maldivler'deki resort sayısı (yakl.)</t>
        </is>
      </c>
      <c r="D1" s="4" t="inlineStr">
        <is>
          <t>Öne çıkan resortlar</t>
        </is>
      </c>
      <c r="E1" s="4" t="inlineStr">
        <is>
          <t>Enerji durumu / not</t>
        </is>
      </c>
      <c r="F1" s="4" t="inlineStr">
        <is>
          <t>Web sitesi</t>
        </is>
      </c>
      <c r="G1" s="4" t="inlineStr">
        <is>
          <t>Öncelik</t>
        </is>
      </c>
      <c r="H1" s="4" t="inlineStr">
        <is>
          <t>Merkez ofis e-posta (kurumsal)</t>
        </is>
      </c>
      <c r="I1" s="4" t="inlineStr">
        <is>
          <t>Merkez ofis telefon</t>
        </is>
      </c>
      <c r="J1" s="4" t="inlineStr">
        <is>
          <t>Adres</t>
        </is>
      </c>
      <c r="K1" s="4" t="inlineStr">
        <is>
          <t>Kaynak bağlantısı</t>
        </is>
      </c>
      <c r="L1" s="4" t="inlineStr">
        <is>
          <t>Mail durumu</t>
        </is>
      </c>
    </row>
    <row r="2">
      <c r="A2" s="11" t="inlineStr">
        <is>
          <t>VERSA Hospitality (eski Universal Resorts)</t>
        </is>
      </c>
      <c r="B2" s="11" t="inlineStr">
        <is>
          <t>Malé (Maldivli)</t>
        </is>
      </c>
      <c r="C2" s="11" t="inlineStr">
        <is>
          <t>8</t>
        </is>
      </c>
      <c r="D2" s="11" t="inlineStr">
        <is>
          <t>Niva Kuramathi, Niva Kurumba, Niva Velassaru, Niva Dhigali, Baros, Milaidhoo, Kandolhu</t>
        </is>
      </c>
      <c r="E2" s="11" t="inlineStr">
        <is>
          <t>Ekim 2025'te VERSA adını aldı, Niva markasını kurdu. Kuramathi'de kısmi GES; diğerlerinde kamuya açık GES bilgisi yok</t>
        </is>
      </c>
      <c r="F2" s="11" t="inlineStr">
        <is>
          <t>versahospitality.com</t>
        </is>
      </c>
      <c r="G2" s="12" t="inlineStr">
        <is>
          <t>A</t>
        </is>
      </c>
      <c r="H2" s="11" t="inlineStr">
        <is>
          <t>— (web sitesindeki form)</t>
        </is>
      </c>
      <c r="I2" s="11" t="inlineStr">
        <is>
          <t>—</t>
        </is>
      </c>
      <c r="J2" s="11" t="inlineStr">
        <is>
          <t>39 Orchid Magu, Malé</t>
        </is>
      </c>
      <c r="K2" s="11" t="inlineStr">
        <is>
          <t>https://www.versahospitality.com/</t>
        </is>
      </c>
    </row>
    <row r="3">
      <c r="A3" s="11" t="inlineStr">
        <is>
          <t>Villa Hotels &amp; Resorts (Villa Group)</t>
        </is>
      </c>
      <c r="B3" s="11" t="inlineStr">
        <is>
          <t>Malé (Maldivli)</t>
        </is>
      </c>
      <c r="C3" s="11" t="inlineStr">
        <is>
          <t>5+</t>
        </is>
      </c>
      <c r="D3" s="11" t="inlineStr">
        <is>
          <t>Villa Park (eski Sun Island), Villa Nautica (eski Paradise Island), Royal Island</t>
        </is>
      </c>
      <c r="E3" s="11" t="inlineStr">
        <is>
          <t>Büyük, orta segment; Villa Park'ta 2.400+ panel var, batarya bilgisi yok</t>
        </is>
      </c>
      <c r="F3" s="11" t="inlineStr">
        <is>
          <t>villaresorts.com</t>
        </is>
      </c>
      <c r="G3" s="12" t="inlineStr">
        <is>
          <t>A</t>
        </is>
      </c>
      <c r="H3" s="11" t="inlineStr">
        <is>
          <t>hello@villaresorts.com; sales@villaresorts.com</t>
        </is>
      </c>
      <c r="I3" s="11" t="inlineStr">
        <is>
          <t>+960 334 4777</t>
        </is>
      </c>
      <c r="J3" s="11" t="inlineStr">
        <is>
          <t>Villa House, Kandi Dhonmanik Goalhi, Malé 20181</t>
        </is>
      </c>
      <c r="K3" s="11" t="inlineStr">
        <is>
          <t>https://villaresorts.com/contact/</t>
        </is>
      </c>
    </row>
    <row r="4">
      <c r="A4" s="11" t="inlineStr">
        <is>
          <t>Sun Siyam Resorts</t>
        </is>
      </c>
      <c r="B4" s="11" t="inlineStr">
        <is>
          <t>Malé (Maldivli)</t>
        </is>
      </c>
      <c r="C4" s="11" t="inlineStr">
        <is>
          <t>5</t>
        </is>
      </c>
      <c r="D4" s="11" t="inlineStr">
        <is>
          <t>Siyam World, Olhuveli, Iru Fushi, Iru Veli, Vilu Reef</t>
        </is>
      </c>
      <c r="E4" s="11" t="inlineStr">
        <is>
          <t>2 resortta GES+ESS (Hayleys Fentons); %50 yenilenebilir @2030 hedefi -&gt; kalan 3 resort için 2. faz</t>
        </is>
      </c>
      <c r="F4" s="11" t="inlineStr">
        <is>
          <t>sunsiyam.com</t>
        </is>
      </c>
      <c r="G4" s="12" t="inlineStr">
        <is>
          <t>A</t>
        </is>
      </c>
      <c r="H4" s="11" t="inlineStr">
        <is>
          <t>sales@sunsiyam.com; book@sunsiyam.com</t>
        </is>
      </c>
      <c r="I4" s="11" t="inlineStr">
        <is>
          <t>+960 332 5977</t>
        </is>
      </c>
      <c r="J4" s="11" t="inlineStr">
        <is>
          <t>Sun Siyam Building, Boduthakurufaanu Magu, Malé 20066</t>
        </is>
      </c>
      <c r="K4" s="11" t="inlineStr">
        <is>
          <t>https://prelive.sunsiyam.com/contact/</t>
        </is>
      </c>
    </row>
    <row r="5">
      <c r="A5" s="11" t="inlineStr">
        <is>
          <t>Crown &amp; Champa Resorts</t>
        </is>
      </c>
      <c r="B5" s="11" t="inlineStr">
        <is>
          <t>Malé (Maldivli)</t>
        </is>
      </c>
      <c r="C5" s="11" t="inlineStr">
        <is>
          <t>10</t>
        </is>
      </c>
      <c r="D5" s="11" t="inlineStr">
        <is>
          <t>Kuredu, Komandoo, Veligandu, Hurawalhi, Kudadoo, Vilamendhoo, Meeru (doğrulanmalı)</t>
        </is>
      </c>
      <c r="E5" s="11" t="inlineStr">
        <is>
          <t>Veligandu tamamlandı; Kuredu (380 oda) en büyük fırsat</t>
        </is>
      </c>
      <c r="F5" s="11" t="inlineStr">
        <is>
          <t>crownandchamparesorts.com</t>
        </is>
      </c>
      <c r="G5" s="12" t="inlineStr">
        <is>
          <t>A</t>
        </is>
      </c>
      <c r="H5" s="11" t="inlineStr">
        <is>
          <t>info@crownandchamparesorts.com</t>
        </is>
      </c>
      <c r="I5" s="11" t="inlineStr">
        <is>
          <t>+960 664 0219</t>
        </is>
      </c>
      <c r="J5" s="11" t="inlineStr">
        <is>
          <t>Champa Building 3. kat, Kandi Dhon Manik Goalhi, Malé 20187</t>
        </is>
      </c>
      <c r="K5" s="11" t="inlineStr">
        <is>
          <t>https://www.crownandchamparesorts.com/inquire-now.html</t>
        </is>
      </c>
    </row>
    <row r="6">
      <c r="A6" s="11" t="inlineStr">
        <is>
          <t>Kuredu Holdings (Crown &amp; Champa ortağı)</t>
        </is>
      </c>
      <c r="B6" s="11" t="inlineStr">
        <is>
          <t>Malé (Maldivli)</t>
        </is>
      </c>
      <c r="C6" s="11" t="inlineStr">
        <is>
          <t>2+</t>
        </is>
      </c>
      <c r="D6" s="11" t="inlineStr">
        <is>
          <t>Kuredu, Komandoo</t>
        </is>
      </c>
      <c r="E6" s="11" t="inlineStr">
        <is>
          <t>Kuredu ve Komandoo'nun sahibi; yeni resortlar geliştiriyor</t>
        </is>
      </c>
      <c r="F6" s="11" t="inlineStr">
        <is>
          <t>—</t>
        </is>
      </c>
      <c r="G6" s="12" t="inlineStr">
        <is>
          <t>A</t>
        </is>
      </c>
      <c r="H6" s="11" t="inlineStr">
        <is>
          <t>— (Crown &amp; Champa üzerinden)</t>
        </is>
      </c>
      <c r="I6" s="11" t="inlineStr">
        <is>
          <t>—</t>
        </is>
      </c>
      <c r="J6" s="11" t="inlineStr">
        <is>
          <t>M. Champa Building 4. kat, Kandi Dhon Manik Goalhi, Malé 20187</t>
        </is>
      </c>
      <c r="K6" s="11" t="inlineStr">
        <is>
          <t>https://business.egov.mv/BusinessRegistry/ViewDetails/39070?key=-577025120</t>
        </is>
      </c>
    </row>
    <row r="7">
      <c r="A7" s="11" t="inlineStr">
        <is>
          <t>Atmosphere Core</t>
        </is>
      </c>
      <c r="B7" s="11" t="inlineStr">
        <is>
          <t>Malé / Hindistan</t>
        </is>
      </c>
      <c r="C7" s="11" t="inlineStr">
        <is>
          <t>9-10</t>
        </is>
      </c>
      <c r="D7" s="11" t="inlineStr">
        <is>
          <t>Kanifushi, OZEN Reserve, OZEN LIFE, VARU, Amaraa Faru (2027)</t>
        </is>
      </c>
      <c r="E7" s="11" t="inlineStr">
        <is>
          <t>Çatı GES yaygın; ESS ilavesi ve yeni açılışlar fırsat</t>
        </is>
      </c>
      <c r="F7" s="11" t="inlineStr">
        <is>
          <t>atmospherecore.com</t>
        </is>
      </c>
      <c r="G7" s="12" t="inlineStr">
        <is>
          <t>A</t>
        </is>
      </c>
      <c r="H7" s="11" t="inlineStr">
        <is>
          <t>info@atmospherecore.com</t>
        </is>
      </c>
      <c r="I7" s="11" t="inlineStr">
        <is>
          <t>+960 330 0668</t>
        </is>
      </c>
      <c r="J7" s="11" t="inlineStr">
        <is>
          <t>Boduthakurufaanu Magu, Malé 20094</t>
        </is>
      </c>
      <c r="K7" s="11" t="inlineStr">
        <is>
          <t>https://www.atmospherecore.com/contact-us</t>
        </is>
      </c>
    </row>
    <row r="8">
      <c r="A8" s="5" t="inlineStr">
        <is>
          <t>Aydeniz Grubu (TÜRK – Ayada Maldives sahibi)</t>
        </is>
      </c>
      <c r="B8" s="5" t="inlineStr">
        <is>
          <t>Ankara, Türkiye</t>
        </is>
      </c>
      <c r="C8" s="5" t="inlineStr">
        <is>
          <t>1</t>
        </is>
      </c>
      <c r="D8" s="5" t="inlineStr">
        <is>
          <t>Ayada Maldives</t>
        </is>
      </c>
      <c r="E8" s="5" t="inlineStr">
        <is>
          <t>Kamuya açık GES bilgisi yok. Türk sahipli: Türkçe ve doğrudan sahiple görüşme imkânı – İLK REFERANS İÇİN EN SICAK ADAY</t>
        </is>
      </c>
      <c r="F8" s="5" t="inlineStr">
        <is>
          <t>aydeniz.com</t>
        </is>
      </c>
      <c r="G8" s="12" t="inlineStr">
        <is>
          <t>A</t>
        </is>
      </c>
      <c r="H8" s="5" t="inlineStr">
        <is>
          <t>info@aydeniz.com</t>
        </is>
      </c>
      <c r="I8" s="5" t="inlineStr">
        <is>
          <t>+90 312 212 6612</t>
        </is>
      </c>
      <c r="J8" s="5" t="inlineStr">
        <is>
          <t>Ayten Sok. No:9 Tandoğan 06580 Ankara</t>
        </is>
      </c>
      <c r="K8" s="5" t="inlineStr">
        <is>
          <t>http://www.aydeniz.com/contact.htm</t>
        </is>
      </c>
      <c r="L8" s="5" t="inlineStr">
        <is>
          <t>Mail gönderildi (2026-10-06)</t>
        </is>
      </c>
    </row>
    <row r="9">
      <c r="A9" s="11" t="inlineStr">
        <is>
          <t>Aitken Spence (Adaaran / Heritance)</t>
        </is>
      </c>
      <c r="B9" s="11" t="inlineStr">
        <is>
          <t>Colombo, Sri Lanka</t>
        </is>
      </c>
      <c r="C9" s="11" t="inlineStr">
        <is>
          <t>5</t>
        </is>
      </c>
      <c r="D9" s="11" t="inlineStr">
        <is>
          <t>Adaaran Hudhuranfushi, Rannalhi, Vadoo, Heritance Aarah</t>
        </is>
      </c>
      <c r="E9" s="11" t="inlineStr">
        <is>
          <t>Kamuya açık GES bilgisi sınırlı</t>
        </is>
      </c>
      <c r="F9" s="11" t="inlineStr">
        <is>
          <t>aitkenspencehotels.com</t>
        </is>
      </c>
      <c r="G9" s="13" t="inlineStr">
        <is>
          <t>B</t>
        </is>
      </c>
      <c r="H9" s="11" t="inlineStr">
        <is>
          <t>inquiries.mv@adaaran.com.mv</t>
        </is>
      </c>
      <c r="I9" s="11" t="inlineStr">
        <is>
          <t>+960 664 0375</t>
        </is>
      </c>
      <c r="J9" s="11" t="inlineStr">
        <is>
          <t>H. Thuniya 6. kat, Boduthakurufaanu Magu, Malé 20026</t>
        </is>
      </c>
      <c r="K9" s="11" t="inlineStr">
        <is>
          <t>https://www.aitkenspencehotels.com/contact-us.html</t>
        </is>
      </c>
    </row>
    <row r="10">
      <c r="A10" s="11" t="inlineStr">
        <is>
          <t>Cinnamon Hotels (John Keells)</t>
        </is>
      </c>
      <c r="B10" s="11" t="inlineStr">
        <is>
          <t>Colombo, Sri Lanka</t>
        </is>
      </c>
      <c r="C10" s="11" t="inlineStr">
        <is>
          <t>4</t>
        </is>
      </c>
      <c r="D10" s="11" t="inlineStr">
        <is>
          <t>Dhonveli, Velifushi, Ellaidhoo, Hakuraa</t>
        </is>
      </c>
      <c r="E10" s="11" t="inlineStr">
        <is>
          <t>Kamuya açık GES bilgisi sınırlı</t>
        </is>
      </c>
      <c r="F10" s="11" t="inlineStr">
        <is>
          <t>cinnamonhotels.com</t>
        </is>
      </c>
      <c r="G10" s="13" t="inlineStr">
        <is>
          <t>B</t>
        </is>
      </c>
      <c r="H10" s="11" t="inlineStr">
        <is>
          <t>sales.mv@cinnamonhotels.com</t>
        </is>
      </c>
      <c r="I10" s="11" t="inlineStr">
        <is>
          <t>+960 333 6000</t>
        </is>
      </c>
      <c r="J10" s="11" t="inlineStr">
        <is>
          <t>H. Maizan Building 2. kat, Sosun Magu, Malé 20252</t>
        </is>
      </c>
      <c r="K10" s="11" t="inlineStr">
        <is>
          <t>https://www.maldivesyp.com/company/547/Cinnamon_Dhonveli_Maldives</t>
        </is>
      </c>
    </row>
    <row r="11">
      <c r="A11" s="11" t="inlineStr">
        <is>
          <t>Minor Hotels (Anantara, NH Collection)</t>
        </is>
      </c>
      <c r="B11" s="11" t="inlineStr">
        <is>
          <t>Bangkok, Tayland</t>
        </is>
      </c>
      <c r="C11" s="11" t="inlineStr">
        <is>
          <t>5+</t>
        </is>
      </c>
      <c r="D11" s="11" t="inlineStr">
        <is>
          <t>Anantara Dhigu/Veli/Naladhu, Kihavah, NH Reethi</t>
        </is>
      </c>
      <c r="E11" s="11" t="inlineStr">
        <is>
          <t>Kamuya açık GES bilgisi sınırlı. Malé adresi VERSA ile aynı – adaların sahibi VERSA olabilir (doğrulanmalı)</t>
        </is>
      </c>
      <c r="F11" s="11" t="inlineStr">
        <is>
          <t>minorhotels.com</t>
        </is>
      </c>
      <c r="G11" s="13" t="inlineStr">
        <is>
          <t>B</t>
        </is>
      </c>
      <c r="H11" s="11" t="inlineStr">
        <is>
          <t>reservations.maldives@anantara.com</t>
        </is>
      </c>
      <c r="I11" s="11" t="inlineStr">
        <is>
          <t>+960 664 4123</t>
        </is>
      </c>
      <c r="J11" s="11" t="inlineStr">
        <is>
          <t>39 Orchid Magu, Malé (VERSA ile aynı adres – mülk sahipliği bağlantısı doğrulanmalı)</t>
        </is>
      </c>
      <c r="K11" s="11" t="inlineStr">
        <is>
          <t>https://www.minorhotels.com/en/reservations-offices</t>
        </is>
      </c>
    </row>
    <row r="12">
      <c r="A12" s="11" t="inlineStr">
        <is>
          <t>Pulse Hotels &amp; Resorts (Kandima)</t>
        </is>
      </c>
      <c r="B12" s="11" t="inlineStr">
        <is>
          <t>Malé / Singapur</t>
        </is>
      </c>
      <c r="C12" s="11" t="inlineStr">
        <is>
          <t>1-2</t>
        </is>
      </c>
      <c r="D12" s="11" t="inlineStr">
        <is>
          <t>Kandima</t>
        </is>
      </c>
      <c r="E12" s="11" t="inlineStr">
        <is>
          <t>Kamuya açık GES bilgisi yok. Mayıs 2026'da Director of Engineering ilanı açtı (yeni kişi göreve başlamış olabilir)</t>
        </is>
      </c>
      <c r="F12" s="11" t="inlineStr">
        <is>
          <t>kandima.com</t>
        </is>
      </c>
      <c r="G12" s="13" t="inlineStr">
        <is>
          <t>B</t>
        </is>
      </c>
      <c r="H12" s="11" t="inlineStr">
        <is>
          <t>KeepinTouch@pulseresorts.com</t>
        </is>
      </c>
      <c r="I12" s="11" t="inlineStr">
        <is>
          <t>+65 6838 9123 (Singapur)</t>
        </is>
      </c>
      <c r="J12" s="11" t="inlineStr">
        <is>
          <t>Kaneeru Villa 4. kat, Orchid Magu, Malé 20212</t>
        </is>
      </c>
      <c r="K12" s="11" t="inlineStr">
        <is>
          <t>https://kandima.com/en/explore/contact</t>
        </is>
      </c>
    </row>
    <row r="13">
      <c r="A13" s="11" t="inlineStr">
        <is>
          <t>CROSSROADS / Singha Estate</t>
        </is>
      </c>
      <c r="B13" s="11" t="inlineStr">
        <is>
          <t>Bangkok, Tayland</t>
        </is>
      </c>
      <c r="C13" s="11" t="inlineStr">
        <is>
          <t>2 + marina</t>
        </is>
      </c>
      <c r="D13" s="11" t="inlineStr">
        <is>
          <t>Hard Rock, SAii Lagoon</t>
        </is>
      </c>
      <c r="E13" s="11" t="inlineStr">
        <is>
          <t>Entegre ada kompleksi, tek enerji santrali</t>
        </is>
      </c>
      <c r="F13" s="11" t="inlineStr">
        <is>
          <t>crossroadsmaldives.com</t>
        </is>
      </c>
      <c r="G13" s="13" t="inlineStr">
        <is>
          <t>B</t>
        </is>
      </c>
      <c r="H13" s="11" t="inlineStr">
        <is>
          <t>sales@crossroadsmaldives.com</t>
        </is>
      </c>
      <c r="I13" s="11" t="inlineStr">
        <is>
          <t>+960 665 1200</t>
        </is>
      </c>
      <c r="J13" s="11" t="inlineStr">
        <is>
          <t>South Malé Atoll, P.O. Box 2097</t>
        </is>
      </c>
      <c r="K13" s="11" t="inlineStr">
        <is>
          <t>https://crossroadsmaldives.com/contact-us/</t>
        </is>
      </c>
    </row>
    <row r="14">
      <c r="A14" s="11" t="inlineStr">
        <is>
          <t>Centara Hotels &amp; Resorts</t>
        </is>
      </c>
      <c r="B14" s="11" t="inlineStr">
        <is>
          <t>Bangkok, Tayland</t>
        </is>
      </c>
      <c r="C14" s="11" t="inlineStr">
        <is>
          <t>3+</t>
        </is>
      </c>
      <c r="D14" s="11" t="inlineStr">
        <is>
          <t>Machchafushi (eski Centara Grand), Ras Fushi, Mirage Lagoon</t>
        </is>
      </c>
      <c r="E14" s="11" t="inlineStr">
        <is>
          <t>Machchafushi'de çatı GES -&gt; ESS ilavesi</t>
        </is>
      </c>
      <c r="F14" s="11" t="inlineStr">
        <is>
          <t>centarahotelsresorts.com</t>
        </is>
      </c>
      <c r="G14" s="13" t="inlineStr">
        <is>
          <t>B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</row>
    <row r="15">
      <c r="A15" s="11" t="inlineStr">
        <is>
          <t>Emerald Collection</t>
        </is>
      </c>
      <c r="B15" s="11" t="inlineStr">
        <is>
          <t>Doğrulanmalı</t>
        </is>
      </c>
      <c r="C15" s="11" t="inlineStr">
        <is>
          <t>2</t>
        </is>
      </c>
      <c r="D15" s="11" t="inlineStr">
        <is>
          <t>Emerald Maldives, Emerald Faarufushi</t>
        </is>
      </c>
      <c r="E15" s="11" t="inlineStr">
        <is>
          <t>Kamuya açık GES bilgisi yok</t>
        </is>
      </c>
      <c r="F15" s="11" t="inlineStr">
        <is>
          <t>emerald-maldives.com</t>
        </is>
      </c>
      <c r="G15" s="13" t="inlineStr">
        <is>
          <t>B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</row>
    <row r="16">
      <c r="A16" s="11" t="inlineStr">
        <is>
          <t>Pontiac Land (Fari Islands)</t>
        </is>
      </c>
      <c r="B16" s="11" t="inlineStr">
        <is>
          <t>Singapur</t>
        </is>
      </c>
      <c r="C16" s="11" t="inlineStr">
        <is>
          <t>3 (Capella 2027)</t>
        </is>
      </c>
      <c r="D16" s="11" t="inlineStr">
        <is>
          <t>Patina, Ritz-Carlton, Capella</t>
        </is>
      </c>
      <c r="E16" s="11" t="inlineStr">
        <is>
          <t>Swimsol ile büyük GES+ESS – rakip tarafından alınmış</t>
        </is>
      </c>
      <c r="F16" s="11" t="inlineStr">
        <is>
          <t>fari-islands.com</t>
        </is>
      </c>
      <c r="G16" s="14" t="inlineStr">
        <is>
          <t>C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</row>
    <row r="17">
      <c r="A17" s="11" t="inlineStr">
        <is>
          <t>Soneva</t>
        </is>
      </c>
      <c r="B17" s="11" t="inlineStr">
        <is>
          <t>Maldivler / Dubai</t>
        </is>
      </c>
      <c r="C17" s="11" t="inlineStr">
        <is>
          <t>3</t>
        </is>
      </c>
      <c r="D17" s="11" t="inlineStr">
        <is>
          <t>Soneva Fushi, Jani, Secret</t>
        </is>
      </c>
      <c r="E17" s="11" t="inlineStr">
        <is>
          <t>Canopy Power + Huawei ESS – rakip tarafından alınmış (referans vaka)</t>
        </is>
      </c>
      <c r="F17" s="11" t="inlineStr">
        <is>
          <t>soneva.com</t>
        </is>
      </c>
      <c r="G17" s="14" t="inlineStr">
        <is>
          <t>C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</row>
    <row r="18">
      <c r="A18" s="11" t="inlineStr">
        <is>
          <t>Marriott / Hilton / IHG / Four Seasons vb. küresel markalar</t>
        </is>
      </c>
      <c r="B18" s="11" t="inlineStr">
        <is>
          <t>Çeşitli</t>
        </is>
      </c>
      <c r="C18" s="11" t="inlineStr">
        <is>
          <t>Çok sayıda</t>
        </is>
      </c>
      <c r="D18" s="11" t="inlineStr">
        <is>
          <t>Waldorf, Conrad, Sheraton, Holiday Inn, Four Seasons</t>
        </is>
      </c>
      <c r="E18" s="11" t="inlineStr">
        <is>
          <t>Karar çoğunlukla mülk sahibi (owner) şirkette; marka sadece işletmeci. Owner şirket tespit edilmeli</t>
        </is>
      </c>
      <c r="F18" s="11" t="inlineStr">
        <is>
          <t>—</t>
        </is>
      </c>
      <c r="G18" s="13" t="inlineStr">
        <is>
          <t>B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60" customWidth="1" min="4" max="4"/>
    <col width="36" customWidth="1" min="5" max="5"/>
    <col width="50" customWidth="1" min="6" max="6"/>
  </cols>
  <sheetData>
    <row r="1" ht="32" customHeight="1">
      <c r="A1" s="4" t="inlineStr">
        <is>
          <t>Firma</t>
        </is>
      </c>
      <c r="B1" s="4" t="inlineStr">
        <is>
          <t>Menşe</t>
        </is>
      </c>
      <c r="C1" s="4" t="inlineStr">
        <is>
          <t>Rol</t>
        </is>
      </c>
      <c r="D1" s="4" t="inlineStr">
        <is>
          <t>Maldivler'deki bilinen projeler</t>
        </is>
      </c>
      <c r="E1" s="4" t="inlineStr">
        <is>
          <t>Teknoloji / marka</t>
        </is>
      </c>
      <c r="F1" s="4" t="inlineStr">
        <is>
          <t>Karea için anlamı</t>
        </is>
      </c>
    </row>
    <row r="2">
      <c r="A2" s="11" t="inlineStr">
        <is>
          <t>Swimsol</t>
        </is>
      </c>
      <c r="B2" s="11" t="inlineStr">
        <is>
          <t>Avusturya (Maldivler'de yerleşik)</t>
        </is>
      </c>
      <c r="C2" s="11" t="inlineStr">
        <is>
          <t>GES geliştirici / EPC, PPA ve satış</t>
        </is>
      </c>
      <c r="D2" s="11" t="inlineStr">
        <is>
          <t>50+ resort adası; 2024'te 13+ MWp; Cheval Blanc 2,4 MWp, Taj Exotica, Taj Coral Reef, LUX* South Ari, OZEN LIFE Maadhoo, Fari Islands 1 MWp yüzer, Ritz-Carlton 983 kW, Four Seasons, Kuramathi</t>
        </is>
      </c>
      <c r="E2" s="11" t="inlineStr">
        <is>
          <t>SolarSea yüzer GES (kendi patenti), çatı GES; toplam ~50 MWp GES + ~25 MWh batarya</t>
        </is>
      </c>
      <c r="F2" s="11" t="inlineStr">
        <is>
          <t>Pazar lideri. ESS'yi dışarıdan tedarik ediyor -&gt; ESS tedarikçisi olarak ORTAK adayı da olabilir</t>
        </is>
      </c>
    </row>
    <row r="3">
      <c r="A3" s="11" t="inlineStr">
        <is>
          <t>Canopy Power</t>
        </is>
      </c>
      <c r="B3" s="11" t="inlineStr">
        <is>
          <t>Singapur</t>
        </is>
      </c>
      <c r="C3" s="11" t="inlineStr">
        <is>
          <t>Mikro şebeke EPC / PPA</t>
        </is>
      </c>
      <c r="D3" s="11" t="inlineStr">
        <is>
          <t>Soneva Fushi, Soneva Jani (5,2 MWp + 4,7 MWh), Soneva Secret (2 MWp yüzer + 3 MWh)</t>
        </is>
      </c>
      <c r="E3" s="11" t="inlineStr">
        <is>
          <t>Huawei ESS, Ocean Sun yüzer GES</t>
        </is>
      </c>
      <c r="F3" s="11" t="inlineStr">
        <is>
          <t>Huawei ile çalışıyor; geri dönüş 4-5 yıl beyanı</t>
        </is>
      </c>
    </row>
    <row r="4">
      <c r="A4" s="11" t="inlineStr">
        <is>
          <t>Solmacher Solar Energy</t>
        </is>
      </c>
      <c r="B4" s="11" t="inlineStr">
        <is>
          <t>Doğrulanmalı</t>
        </is>
      </c>
      <c r="C4" s="11" t="inlineStr">
        <is>
          <t>EPC / mikro şebeke</t>
        </is>
      </c>
      <c r="D4" s="11" t="inlineStr">
        <is>
          <t>Royal Rosewood Resort Island: 16 MWp GES + 40 MWh ESS (Ağu. 2026 sözleşme)</t>
        </is>
      </c>
      <c r="E4" s="11" t="inlineStr">
        <is>
          <t>Huawei Digital Power ESS + C&amp;I/utility inverter</t>
        </is>
      </c>
      <c r="F4" s="11" t="inlineStr">
        <is>
          <t>Maldivler'in en büyük resort mikro şebekesi; Huawei'nin bölgedeki ana kanalı</t>
        </is>
      </c>
    </row>
    <row r="5">
      <c r="A5" s="11" t="inlineStr">
        <is>
          <t>Hayleys Fentons</t>
        </is>
      </c>
      <c r="B5" s="11" t="inlineStr">
        <is>
          <t>Sri Lanka</t>
        </is>
      </c>
      <c r="C5" s="11" t="inlineStr">
        <is>
          <t>EPC</t>
        </is>
      </c>
      <c r="D5" s="11" t="inlineStr">
        <is>
          <t>Sun Siyam: Siyam World + Olhuveli (4.110 kWp + 2.257 kWh ESS)</t>
        </is>
      </c>
      <c r="E5" s="11" t="inlineStr">
        <is>
          <t>Doğrulanmalı</t>
        </is>
      </c>
      <c r="F5" s="11" t="inlineStr">
        <is>
          <t>Sri Lanka merkezli büyük grup – ortaklık veya rakip</t>
        </is>
      </c>
    </row>
    <row r="6">
      <c r="A6" s="11" t="inlineStr">
        <is>
          <t>Ecogreen Maldives</t>
        </is>
      </c>
      <c r="B6" s="11" t="inlineStr">
        <is>
          <t>Maldivler</t>
        </is>
      </c>
      <c r="C6" s="11" t="inlineStr">
        <is>
          <t>Yerel kurulumcu</t>
        </is>
      </c>
      <c r="D6" s="11" t="inlineStr">
        <is>
          <t>Resort, misafirhane, konut</t>
        </is>
      </c>
      <c r="E6" s="11" t="inlineStr">
        <is>
          <t>Doğrulanmalı</t>
        </is>
      </c>
      <c r="F6" s="11" t="inlineStr">
        <is>
          <t>Yerel ortak adayı</t>
        </is>
      </c>
    </row>
    <row r="7">
      <c r="A7" s="11" t="inlineStr">
        <is>
          <t>Renewable Energy Maldives (REM)</t>
        </is>
      </c>
      <c r="B7" s="11" t="inlineStr">
        <is>
          <t>Maldivler</t>
        </is>
      </c>
      <c r="C7" s="11" t="inlineStr">
        <is>
          <t>Yerel kurulumcu (2012)</t>
        </is>
      </c>
      <c r="D7" s="11" t="inlineStr">
        <is>
          <t>Doğrulanmalı</t>
        </is>
      </c>
      <c r="E7" s="11" t="inlineStr">
        <is>
          <t>Doğrulanmalı</t>
        </is>
      </c>
      <c r="F7" s="11" t="inlineStr">
        <is>
          <t>Yerel ortak adayı</t>
        </is>
      </c>
    </row>
    <row r="8">
      <c r="A8" s="11" t="inlineStr">
        <is>
          <t>Ensys</t>
        </is>
      </c>
      <c r="B8" s="11" t="inlineStr">
        <is>
          <t>Tayland</t>
        </is>
      </c>
      <c r="C8" s="11" t="inlineStr">
        <is>
          <t>Geliştirici / PPA</t>
        </is>
      </c>
      <c r="D8" s="11" t="inlineStr">
        <is>
          <t>Maldivler'de GES PPA (ASPIRE)</t>
        </is>
      </c>
      <c r="E8" s="11" t="inlineStr">
        <is>
          <t>Doğrulanmalı</t>
        </is>
      </c>
      <c r="F8" s="11" t="inlineStr">
        <is>
          <t>Kamu ihaleleri tarafı</t>
        </is>
      </c>
    </row>
    <row r="9">
      <c r="A9" s="11" t="inlineStr">
        <is>
          <t>Avi Technologies</t>
        </is>
      </c>
      <c r="B9" s="11" t="inlineStr">
        <is>
          <t>Doğrulanmalı</t>
        </is>
      </c>
      <c r="C9" s="11" t="inlineStr">
        <is>
          <t>Kurulumcu – GES + batarya</t>
        </is>
      </c>
      <c r="D9" s="11" t="inlineStr">
        <is>
          <t>Doğrulanmalı</t>
        </is>
      </c>
      <c r="E9" s="11" t="inlineStr">
        <is>
          <t>Doğrulanmalı</t>
        </is>
      </c>
      <c r="F9" s="11" t="inlineStr">
        <is>
          <t>Batarya entegrasyonu odaklı – ortak adayı</t>
        </is>
      </c>
    </row>
    <row r="10">
      <c r="A10" s="11" t="inlineStr">
        <is>
          <t>MYENERGY Solutions</t>
        </is>
      </c>
      <c r="B10" s="11" t="inlineStr">
        <is>
          <t>Sri Lanka</t>
        </is>
      </c>
      <c r="C10" s="11" t="inlineStr">
        <is>
          <t>ESS distribütörü (EAST Group)</t>
        </is>
      </c>
      <c r="D10" s="11" t="inlineStr">
        <is>
          <t>Sri Lanka &amp; Maldivler'e ESS dağıtımı</t>
        </is>
      </c>
      <c r="E10" s="11" t="inlineStr">
        <is>
          <t>EAST Group ESS</t>
        </is>
      </c>
      <c r="F10" s="11" t="inlineStr">
        <is>
          <t>Doğrudan ürün rakibi (Çin menşeli ESS)</t>
        </is>
      </c>
    </row>
    <row r="11">
      <c r="A11" s="11" t="inlineStr">
        <is>
          <t>Huawei Digital Power</t>
        </is>
      </c>
      <c r="B11" s="11" t="inlineStr">
        <is>
          <t>Çin</t>
        </is>
      </c>
      <c r="C11" s="11" t="inlineStr">
        <is>
          <t>Üretici</t>
        </is>
      </c>
      <c r="D11" s="11" t="inlineStr">
        <is>
          <t>Soneva Secret (3 MWh), Royal Rosewood (40 MWh)</t>
        </is>
      </c>
      <c r="E11" s="11" t="inlineStr">
        <is>
          <t>LUNA2000 C&amp;I/Utility ESS, FusionSolar</t>
        </is>
      </c>
      <c r="F11" s="11" t="inlineStr">
        <is>
          <t>Bölgede referansı VAR. Karea'nın Türkiye distribütörlüğü Maldivler'i kapsamıyor olabilir -&gt; Huawei bölge ofisiyle kanal netleştirilmeli</t>
        </is>
      </c>
    </row>
    <row r="12">
      <c r="A12" s="11" t="inlineStr">
        <is>
          <t>HYXI</t>
        </is>
      </c>
      <c r="B12" s="11" t="inlineStr">
        <is>
          <t>Çin</t>
        </is>
      </c>
      <c r="C12" s="11" t="inlineStr">
        <is>
          <t>Üretici</t>
        </is>
      </c>
      <c r="D12" s="11" t="inlineStr">
        <is>
          <t>Maldivler'de kamuya açık proje bulunamadı</t>
        </is>
      </c>
      <c r="E12" s="11" t="inlineStr">
        <is>
          <t>C&amp;I ESS, inverter</t>
        </is>
      </c>
      <c r="F12" s="11" t="inlineStr">
        <is>
          <t>Boş alan: Karea ilk referansı yapabilir; HYXI ile Maldivler için yetki/destek görüşülmeli</t>
        </is>
      </c>
    </row>
    <row r="13">
      <c r="A13" s="11" t="inlineStr">
        <is>
          <t>Sungrow, BYD, Tesla vb.</t>
        </is>
      </c>
      <c r="B13" s="11" t="inlineStr">
        <is>
          <t>Çeşitli</t>
        </is>
      </c>
      <c r="C13" s="11" t="inlineStr">
        <is>
          <t>Üretici</t>
        </is>
      </c>
      <c r="D13" s="11" t="inlineStr">
        <is>
          <t>Kamu ihaleleri (ASSURE 40 MWh BESS) ve resortlarda olası</t>
        </is>
      </c>
      <c r="E13" s="11" t="inlineStr">
        <is>
          <t>—</t>
        </is>
      </c>
      <c r="F13" s="11" t="inlineStr">
        <is>
          <t>Fiyat rekabeti beklenmeli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44" customWidth="1" min="3" max="3"/>
    <col width="64" customWidth="1" min="4" max="4"/>
    <col width="24" customWidth="1" min="5" max="5"/>
    <col width="22" customWidth="1" min="6" max="6"/>
    <col width="26" customWidth="1" min="7" max="7"/>
  </cols>
  <sheetData>
    <row r="1" ht="32" customHeight="1">
      <c r="A1" s="4" t="inlineStr">
        <is>
          <t>Firma</t>
        </is>
      </c>
      <c r="B1" s="4" t="inlineStr">
        <is>
          <t>Tür</t>
        </is>
      </c>
      <c r="C1" s="4" t="inlineStr">
        <is>
          <t>Bilinen marka tercihi (inverter/batarya)</t>
        </is>
      </c>
      <c r="D1" s="4" t="inlineStr">
        <is>
          <t>Karea / HYXI için değerlendirme</t>
        </is>
      </c>
      <c r="E1" s="4" t="inlineStr">
        <is>
          <t>Web sitesi</t>
        </is>
      </c>
      <c r="F1" s="4" t="inlineStr">
        <is>
          <t>Not</t>
        </is>
      </c>
      <c r="G1" s="4" t="inlineStr">
        <is>
          <t>Mail durumu</t>
        </is>
      </c>
    </row>
    <row r="2">
      <c r="A2" s="5" t="inlineStr">
        <is>
          <t>Swimsol</t>
        </is>
      </c>
      <c r="B2" s="5" t="inlineStr">
        <is>
          <t>GES lideri / EPC (Avusturya, Malé'de yerleşik)</t>
        </is>
      </c>
      <c r="C2" s="5" t="inlineStr">
        <is>
          <t>Panel: kendi SolarSea sistemi. Batarya markası kamuya açık değil</t>
        </is>
      </c>
      <c r="D2" s="5" t="inlineStr">
        <is>
          <t>50+ resortta GES; Veligandu (1,7 MWh) ve RAH GILI (2,5 MWh) bataryalarını da kurdu. Batarya tedarikçisi olarak HYXI için en büyük potansiyel</t>
        </is>
      </c>
      <c r="E2" s="5" t="inlineStr">
        <is>
          <t>swimsol.com</t>
        </is>
      </c>
      <c r="F2" s="5" t="inlineStr">
        <is>
          <t>Hem rakip hem müşteri olabilir</t>
        </is>
      </c>
      <c r="G2" s="5" t="inlineStr">
        <is>
          <t>Mail gönderildi (2026-10-06)</t>
        </is>
      </c>
    </row>
    <row r="3">
      <c r="A3" s="5" t="inlineStr">
        <is>
          <t>Avi Technologies</t>
        </is>
      </c>
      <c r="B3" s="5" t="inlineStr">
        <is>
          <t>Yerel EPC (2015)</t>
        </is>
      </c>
      <c r="C3" s="5" t="inlineStr">
        <is>
          <t>Kamuya açık marka bilgisi yok</t>
        </is>
      </c>
      <c r="D3" s="5" t="inlineStr">
        <is>
          <t>GES + ESS + dizel entegrasyonu yapıyor (Haa Alif'te 14 adada 3,78 MWh ESS). 15+ MW kurulum. HYXI C&amp;I ESS için en uygun yerel ortak adayı</t>
        </is>
      </c>
      <c r="E3" s="5" t="inlineStr">
        <is>
          <t>avitech.com.mv</t>
        </is>
      </c>
      <c r="F3" s="5" t="inlineStr">
        <is>
          <t>Yerel ortak – 1. öncelik</t>
        </is>
      </c>
      <c r="G3" s="5" t="inlineStr">
        <is>
          <t>Mail gönderildi (2026-10-06)</t>
        </is>
      </c>
    </row>
    <row r="4">
      <c r="A4" s="5" t="inlineStr">
        <is>
          <t>Atoll Solar (Octopus Systems)</t>
        </is>
      </c>
      <c r="B4" s="5" t="inlineStr">
        <is>
          <t>Yerel EPC, resort odaklı</t>
        </is>
      </c>
      <c r="C4" s="5" t="inlineStr">
        <is>
          <t>BYD ile çalışıyor</t>
        </is>
      </c>
      <c r="D4" s="5" t="inlineStr">
        <is>
          <t>Ana şirket Octopus Systems resortların sistem entegratörü, yani tüm resortlara zaten erişimi var. BYD'ye alternatif ikinci marka olarak HYXI sunulabilir</t>
        </is>
      </c>
      <c r="E4" s="5" t="inlineStr">
        <is>
          <t>atollsolar.com</t>
        </is>
      </c>
      <c r="F4" s="5" t="inlineStr">
        <is>
          <t>Yerel ortak – 1. öncelik</t>
        </is>
      </c>
      <c r="G4" s="5" t="inlineStr">
        <is>
          <t>Mail gönderildi (2026-10-06)</t>
        </is>
      </c>
    </row>
    <row r="5">
      <c r="A5" s="5" t="inlineStr">
        <is>
          <t>Ecogreen Maldives</t>
        </is>
      </c>
      <c r="B5" s="5" t="inlineStr">
        <is>
          <t>Yerel kurulumcu (2014)</t>
        </is>
      </c>
      <c r="C5" s="5" t="inlineStr">
        <is>
          <t>Kamuya açık marka bilgisi yok</t>
        </is>
      </c>
      <c r="D5" s="5" t="inlineStr">
        <is>
          <t>Resort, misafirhane, konut ve tekne GES. Ağırlıklı olarak küçük/orta ölçek</t>
        </is>
      </c>
      <c r="E5" s="5" t="inlineStr">
        <is>
          <t>ecogreenmaldives.com</t>
        </is>
      </c>
      <c r="F5" s="5" t="inlineStr">
        <is>
          <t>Yerel ortak adayı</t>
        </is>
      </c>
      <c r="G5" s="5" t="inlineStr">
        <is>
          <t>Mail gönderildi (2026-10-06)</t>
        </is>
      </c>
    </row>
    <row r="6">
      <c r="A6" s="11" t="inlineStr">
        <is>
          <t>Renewable Energy Maldives (REM)</t>
        </is>
      </c>
      <c r="B6" s="11" t="inlineStr">
        <is>
          <t>Yerel kurulumcu (2006)</t>
        </is>
      </c>
      <c r="C6" s="11" t="inlineStr">
        <is>
          <t>Sri Lanka kolu (REM Lanka) SolaX kullanıyor</t>
        </is>
      </c>
      <c r="D6" s="11" t="inlineStr">
        <is>
          <t>~25 ada ve resortlarla çalışmış eski oyuncu</t>
        </is>
      </c>
      <c r="E6" s="11" t="inlineStr">
        <is>
          <t>LinkedIn: REM Solar</t>
        </is>
      </c>
      <c r="F6" s="11" t="inlineStr">
        <is>
          <t>Yerel ortak adayı</t>
        </is>
      </c>
    </row>
    <row r="7">
      <c r="A7" s="5" t="inlineStr">
        <is>
          <t>SunCore Energy</t>
        </is>
      </c>
      <c r="B7" s="5" t="inlineStr">
        <is>
          <t>Yerel GES firması</t>
        </is>
      </c>
      <c r="C7" s="5" t="inlineStr">
        <is>
          <t>Kamuya açık marka bilgisi yok</t>
        </is>
      </c>
      <c r="D7" s="5" t="inlineStr">
        <is>
          <t>16+ yıllık proje direktörü; kamu ve kurumsal projeler</t>
        </is>
      </c>
      <c r="E7" s="5" t="inlineStr">
        <is>
          <t>suncore.mv</t>
        </is>
      </c>
      <c r="F7" s="5" t="inlineStr">
        <is>
          <t>Yerel ortak adayı</t>
        </is>
      </c>
      <c r="G7" s="5" t="inlineStr">
        <is>
          <t>Mail gönderildi (2026-10-06)</t>
        </is>
      </c>
    </row>
    <row r="8">
      <c r="A8" s="5" t="inlineStr">
        <is>
          <t>Hayleys Fentons / Hayleys Solar</t>
        </is>
      </c>
      <c r="B8" s="5" t="inlineStr">
        <is>
          <t>Bölgesel EPC (Sri Lanka, 500+ MW)</t>
        </is>
      </c>
      <c r="C8" s="5" t="inlineStr">
        <is>
          <t>HUAWEI kullanıyor (inverter tedarikçileri arasında; Hayleys Electronics Huawei ile ortak forum yaptı); BYD batarya ortağı</t>
        </is>
      </c>
      <c r="D8" s="5" t="inlineStr">
        <is>
          <t>Sun Siyam projesinin yüklenicisi. Huawei kanalında oldukları için HYXI'ye geçmeleri zor; Huawei tarafında ise bölgesel rakip/kanal</t>
        </is>
      </c>
      <c r="E8" s="5" t="inlineStr">
        <is>
          <t>hayleysfentons.com</t>
        </is>
      </c>
      <c r="F8" s="5" t="inlineStr">
        <is>
          <t>Huawei kullanıcısı</t>
        </is>
      </c>
      <c r="G8" s="5" t="inlineStr">
        <is>
          <t>Mail gönderildi (2026-10-06)</t>
        </is>
      </c>
    </row>
    <row r="9">
      <c r="A9" s="5" t="inlineStr">
        <is>
          <t>Canopy Power</t>
        </is>
      </c>
      <c r="B9" s="5" t="inlineStr">
        <is>
          <t>Mikro şebeke EPC (Singapur)</t>
        </is>
      </c>
      <c r="C9" s="5" t="inlineStr">
        <is>
          <t>HUAWEI ESS (Soneva Secret 3 MWh)</t>
        </is>
      </c>
      <c r="D9" s="5" t="inlineStr">
        <is>
          <t>Huawei kanalında</t>
        </is>
      </c>
      <c r="E9" s="5" t="inlineStr">
        <is>
          <t>canopypower.com</t>
        </is>
      </c>
      <c r="F9" s="5" t="inlineStr">
        <is>
          <t>Huawei kullanıcısı</t>
        </is>
      </c>
      <c r="G9" s="5" t="inlineStr">
        <is>
          <t>Mail gönderildi (2026-10-06)</t>
        </is>
      </c>
    </row>
    <row r="10">
      <c r="A10" s="11" t="inlineStr">
        <is>
          <t>Solmacher Solar Energy</t>
        </is>
      </c>
      <c r="B10" s="11" t="inlineStr">
        <is>
          <t>EPC</t>
        </is>
      </c>
      <c r="C10" s="11" t="inlineStr">
        <is>
          <t>HUAWEI (Royal Rosewood 40 MWh ESS + inverter, Ağu. 2026)</t>
        </is>
      </c>
      <c r="D10" s="11" t="inlineStr">
        <is>
          <t>Huawei'nin Maldivler'deki en büyük projesi bu firmada</t>
        </is>
      </c>
      <c r="E10" s="11" t="inlineStr">
        <is>
          <t>Doğrulanmalı</t>
        </is>
      </c>
      <c r="F10" s="11" t="inlineStr">
        <is>
          <t>Huawei kullanıcısı</t>
        </is>
      </c>
    </row>
    <row r="11">
      <c r="A11" s="5" t="inlineStr">
        <is>
          <t>SINOSOAR</t>
        </is>
      </c>
      <c r="B11" s="5" t="inlineStr">
        <is>
          <t>Çin EPC – kamu hibrit projeleri</t>
        </is>
      </c>
      <c r="C11" s="5" t="inlineStr">
        <is>
          <t>Kendi PCS/EMS'i; Sungrow ile bağlantılı</t>
        </is>
      </c>
      <c r="D11" s="5" t="inlineStr">
        <is>
          <t>134 adada kamu mikro şebeke projesi (ADB/ASSURE 40 MWh dahil). Kamu ihaleleri tarafında güçlü rakip</t>
        </is>
      </c>
      <c r="E11" s="5" t="inlineStr">
        <is>
          <t>sinosoarhybrid.com</t>
        </is>
      </c>
      <c r="F11" s="5" t="inlineStr">
        <is>
          <t>Rakip (kamu)</t>
        </is>
      </c>
      <c r="G11" s="5" t="inlineStr">
        <is>
          <t>Mail gönderildi (2026-10-06)</t>
        </is>
      </c>
    </row>
    <row r="12">
      <c r="A12" s="5" t="inlineStr">
        <is>
          <t>Magnetron Maldives</t>
        </is>
      </c>
      <c r="B12" s="5" t="inlineStr">
        <is>
          <t>Yerel mühendislik / EPC (2014)</t>
        </is>
      </c>
      <c r="C12" s="5" t="inlineStr">
        <is>
          <t>Kamuya açık marka bilgisi yok</t>
        </is>
      </c>
      <c r="D12" s="5" t="inlineStr">
        <is>
          <t>Elektrik panosu, RO su arıtma ve GES; 28+ adada resort ve kamu müşterisi. RO tesisleri batarya için ideal yük</t>
        </is>
      </c>
      <c r="E12" s="5" t="inlineStr">
        <is>
          <t>magnetronmaldives.com</t>
        </is>
      </c>
      <c r="F12" s="5" t="inlineStr">
        <is>
          <t>Yerel ortak adayı</t>
        </is>
      </c>
      <c r="G12" s="5" t="inlineStr">
        <is>
          <t>Mail gönderildi (2026-10-06)</t>
        </is>
      </c>
    </row>
    <row r="13">
      <c r="A13" s="11" t="inlineStr">
        <is>
          <t>Resort jeneratör bakım/servis firmaları</t>
        </is>
      </c>
      <c r="B13" s="11" t="inlineStr">
        <is>
          <t>O&amp;M</t>
        </is>
      </c>
      <c r="C13" s="11" t="inlineStr">
        <is>
          <t>Cummins, MTU, Caterpillar yerel bayileri</t>
        </is>
      </c>
      <c r="D13" s="11" t="inlineStr">
        <is>
          <t>Her resortun enerji santraline zaten erişimleri var; hibrit kontrol entegrasyonu için kritik</t>
        </is>
      </c>
      <c r="E13" s="11" t="inlineStr">
        <is>
          <t>Saha ziyaretinde tespit edilecek</t>
        </is>
      </c>
      <c r="F13" s="11" t="inlineStr">
        <is>
          <t>Teknik ortak</t>
        </is>
      </c>
    </row>
    <row r="14">
      <c r="A14" s="11" t="inlineStr">
        <is>
          <t>DEIF</t>
        </is>
      </c>
      <c r="B14" s="11" t="inlineStr">
        <is>
          <t>Hibrit kontrol sistemi (Danimarka)</t>
        </is>
      </c>
      <c r="C14" s="11" t="inlineStr">
        <is>
          <t>—</t>
        </is>
      </c>
      <c r="D14" s="11" t="inlineStr">
        <is>
          <t>Maldivler'de bir lüks resortta dizel+GES+batarya kontrolünü yaptı; ESS entegrasyonunda teknik ortak</t>
        </is>
      </c>
      <c r="E14" s="11" t="inlineStr">
        <is>
          <t>deif.com</t>
        </is>
      </c>
      <c r="F14" s="11" t="inlineStr">
        <is>
          <t>Teknik ortak</t>
        </is>
      </c>
    </row>
    <row r="15">
      <c r="A15" s="11" t="inlineStr">
        <is>
          <t>Elemental Water Makers</t>
        </is>
      </c>
      <c r="B15" s="11" t="inlineStr">
        <is>
          <t>Güneş enerjili su arıtma</t>
        </is>
      </c>
      <c r="C15" s="11" t="inlineStr">
        <is>
          <t>—</t>
        </is>
      </c>
      <c r="D15" s="11" t="inlineStr">
        <is>
          <t>Resortlarda tuzdan arındırma en büyük elektrik yüklerinden biri</t>
        </is>
      </c>
      <c r="E15" s="11" t="inlineStr">
        <is>
          <t>elementalwatermakers.com</t>
        </is>
      </c>
      <c r="F15" s="11" t="inlineStr">
        <is>
          <t>Tamamlayıcı ortak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70" customWidth="1" min="3" max="3"/>
    <col width="26" customWidth="1" min="4" max="4"/>
  </cols>
  <sheetData>
    <row r="1" ht="32" customHeight="1">
      <c r="A1" s="4" t="inlineStr">
        <is>
          <t>Kurum / Program</t>
        </is>
      </c>
      <c r="B1" s="4" t="inlineStr">
        <is>
          <t>Rol</t>
        </is>
      </c>
      <c r="C1" s="4" t="inlineStr">
        <is>
          <t>Karea için önemi</t>
        </is>
      </c>
      <c r="D1" s="4" t="inlineStr">
        <is>
          <t>Web sitesi</t>
        </is>
      </c>
    </row>
    <row r="2">
      <c r="A2" s="11" t="inlineStr">
        <is>
          <t>Ministry of Climate Change, Environment and Energy</t>
        </is>
      </c>
      <c r="B2" s="11" t="inlineStr">
        <is>
          <t>Enerji politikası (Nisan 2026'da yeniden ayrı bakanlık oldu)</t>
        </is>
      </c>
      <c r="C2" s="11" t="inlineStr">
        <is>
          <t>Yenilenebilir hedefler (%33 @2028), politika ve izinler</t>
        </is>
      </c>
      <c r="D2" s="11" t="inlineStr">
        <is>
          <t>environment.gov.mv</t>
        </is>
      </c>
    </row>
    <row r="3">
      <c r="A3" s="11" t="inlineStr">
        <is>
          <t>Utility Regulatory Authority (URA)</t>
        </is>
      </c>
      <c r="B3" s="11" t="inlineStr">
        <is>
          <t>Düzenleyici kurum (Kanun 26/2020)</t>
        </is>
      </c>
      <c r="C3" s="11" t="inlineStr">
        <is>
          <t>Elektrik üretim/servis lisansları, şebeke bağlantı ve net metering kuralları</t>
        </is>
      </c>
      <c r="D3" s="11" t="inlineStr">
        <is>
          <t>ura.gov.mv</t>
        </is>
      </c>
    </row>
    <row r="4">
      <c r="A4" s="11" t="inlineStr">
        <is>
          <t>STELCO</t>
        </is>
      </c>
      <c r="B4" s="11" t="inlineStr">
        <is>
          <t>Devlet elektrik şirketi (Malé bölgesi)</t>
        </is>
      </c>
      <c r="C4" s="11" t="inlineStr">
        <is>
          <t>Resortlar şebekeye bağlı değil; ama kamu ESS ihalelerinin alıcısı</t>
        </is>
      </c>
      <c r="D4" s="11" t="inlineStr">
        <is>
          <t>stelco.com.mv</t>
        </is>
      </c>
    </row>
    <row r="5">
      <c r="A5" s="11" t="inlineStr">
        <is>
          <t>FENAKA Corporation</t>
        </is>
      </c>
      <c r="B5" s="11" t="inlineStr">
        <is>
          <t>Devlet hizmet şirketi (dış adalar)</t>
        </is>
      </c>
      <c r="C5" s="11" t="inlineStr">
        <is>
          <t>Dış adalardaki ESS/GES ihaleleri</t>
        </is>
      </c>
      <c r="D5" s="11" t="inlineStr">
        <is>
          <t>fenaka.mv</t>
        </is>
      </c>
    </row>
    <row r="6">
      <c r="A6" s="11" t="inlineStr">
        <is>
          <t>Ministry of Tourism</t>
        </is>
      </c>
      <c r="B6" s="11" t="inlineStr">
        <is>
          <t>Resort lisansları</t>
        </is>
      </c>
      <c r="C6" s="11" t="inlineStr">
        <is>
          <t>Resort listeleri, yeni ada kiralamaları, istatistik. Sitedeki 'Registered Facilities' listesi tüm resortların resmi telefon/e-posta bilgilerini içerir (PDF/CSV indirilebilir). Bakanlık: info@tourism.gov.mv, +960 332 3224</t>
        </is>
      </c>
      <c r="D6" s="11" t="inlineStr">
        <is>
          <t>tourism.gov.mv</t>
        </is>
      </c>
    </row>
    <row r="7">
      <c r="A7" s="11" t="inlineStr">
        <is>
          <t>Maldives Association of Tourism Industry (MATI)</t>
        </is>
      </c>
      <c r="B7" s="11" t="inlineStr">
        <is>
          <t>Resort sahipleri derneği</t>
        </is>
      </c>
      <c r="C7" s="11" t="inlineStr">
        <is>
          <t>Sektöre toplu erişim, etkinlikler, sunum fırsatı</t>
        </is>
      </c>
      <c r="D7" s="11" t="inlineStr">
        <is>
          <t>mati.mv</t>
        </is>
      </c>
    </row>
    <row r="8">
      <c r="A8" s="11" t="inlineStr">
        <is>
          <t>Invest Maldives</t>
        </is>
      </c>
      <c r="B8" s="11" t="inlineStr">
        <is>
          <t>Yatırım ajansı</t>
        </is>
      </c>
      <c r="C8" s="11" t="inlineStr">
        <is>
          <t>Şirket kurma / yabancı yatırım süreçleri</t>
        </is>
      </c>
      <c r="D8" s="11" t="inlineStr">
        <is>
          <t>investmaldives.gov.mv</t>
        </is>
      </c>
    </row>
    <row r="9">
      <c r="A9" s="11" t="inlineStr">
        <is>
          <t>Maldives Customs Service</t>
        </is>
      </c>
      <c r="B9" s="11" t="inlineStr">
        <is>
          <t>Gümrük</t>
        </is>
      </c>
      <c r="C9" s="11" t="inlineStr">
        <is>
          <t>Yenilenebilir enerji ürünlerinde ithalat vergisi muafiyetinin teyidi</t>
        </is>
      </c>
      <c r="D9" s="11" t="inlineStr">
        <is>
          <t>customs.gov.mv</t>
        </is>
      </c>
    </row>
    <row r="10">
      <c r="A10" s="11" t="inlineStr">
        <is>
          <t>State Trading Organization (STO)</t>
        </is>
      </c>
      <c r="B10" s="11" t="inlineStr">
        <is>
          <t>Akaryakıt tedarikçisi</t>
        </is>
      </c>
      <c r="C10" s="11" t="inlineStr">
        <is>
          <t>Dizel fiyatlarının kaynağı</t>
        </is>
      </c>
      <c r="D10" s="11" t="inlineStr">
        <is>
          <t>sto.mv</t>
        </is>
      </c>
    </row>
    <row r="11">
      <c r="A11" s="11" t="inlineStr">
        <is>
          <t>Bank of Maldives</t>
        </is>
      </c>
      <c r="B11" s="11" t="inlineStr">
        <is>
          <t>Yerel banka</t>
        </is>
      </c>
      <c r="C11" s="11" t="inlineStr">
        <is>
          <t>Resort projelerine yerel finansman / yeşil kredi</t>
        </is>
      </c>
      <c r="D11" s="11" t="inlineStr">
        <is>
          <t>bankofmaldives.com.mv</t>
        </is>
      </c>
    </row>
    <row r="12">
      <c r="A12" s="11" t="inlineStr">
        <is>
          <t>Dünya Bankası – ASPIRE / ARISE</t>
        </is>
      </c>
      <c r="B12" s="11" t="inlineStr">
        <is>
          <t>Finansman programları</t>
        </is>
      </c>
      <c r="C12" s="11" t="inlineStr">
        <is>
          <t>ASPIRE: özel GES PPA ihaleleri (tarifeler 21¢ -&gt; 10,9¢/kWh). ARISE: 100 M$, batarya + şebeke entegrasyonu</t>
        </is>
      </c>
      <c r="D12" s="11" t="inlineStr">
        <is>
          <t>worldbank.org</t>
        </is>
      </c>
    </row>
    <row r="13">
      <c r="A13" s="11" t="inlineStr">
        <is>
          <t>Asya Kalkınma Bankası (ADB) – POISED / ASSURE</t>
        </is>
      </c>
      <c r="B13" s="11" t="inlineStr">
        <is>
          <t>Finansman programları</t>
        </is>
      </c>
      <c r="C13" s="11" t="inlineStr">
        <is>
          <t>POISED: dış adalarda hibrit sistemler (%25 yakıt tasarrufu). ASSURE: 18 adada 40 MWh BESS ihalesi (41,5 M$ hibe)</t>
        </is>
      </c>
      <c r="D13" s="11" t="inlineStr">
        <is>
          <t>adb.org</t>
        </is>
      </c>
    </row>
    <row r="14">
      <c r="A14" s="11" t="inlineStr">
        <is>
          <t>AIIB</t>
        </is>
      </c>
      <c r="B14" s="11" t="inlineStr">
        <is>
          <t>Finansman</t>
        </is>
      </c>
      <c r="C14" s="11" t="inlineStr">
        <is>
          <t>Solar Power Development and Energy Storage Solution projesi</t>
        </is>
      </c>
      <c r="D14" s="11" t="inlineStr">
        <is>
          <t>aiib.org</t>
        </is>
      </c>
    </row>
    <row r="15">
      <c r="A15" s="11" t="inlineStr">
        <is>
          <t>T.C. Malé Büyükelçiliği / Ticaret Müşavirliği</t>
        </is>
      </c>
      <c r="B15" s="11" t="inlineStr">
        <is>
          <t>Ticari diplomasi</t>
        </is>
      </c>
      <c r="C15" s="11" t="inlineStr">
        <is>
          <t>Kurum tanıtımı, randevu desteği (temsilcilik yapısı doğrulanmalı)</t>
        </is>
      </c>
      <c r="D15" s="11" t="inlineStr">
        <is>
          <t>mfa.gov.tr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70" customWidth="1" min="3" max="3"/>
  </cols>
  <sheetData>
    <row r="1" ht="32" customHeight="1">
      <c r="A1" s="4" t="inlineStr">
        <is>
          <t>Örnek: ~150 odalı resort, 1 MWp GES + 1 MWh ESS</t>
        </is>
      </c>
      <c r="B1" s="4" t="inlineStr">
        <is>
          <t>Değer</t>
        </is>
      </c>
      <c r="C1" s="4" t="inlineStr">
        <is>
          <t>Açıklama / varsayım</t>
        </is>
      </c>
    </row>
    <row r="2">
      <c r="A2" t="inlineStr">
        <is>
          <t>GES gücü (kWp)</t>
        </is>
      </c>
      <c r="B2" s="8" t="n">
        <v>1000</v>
      </c>
      <c r="C2" t="inlineStr">
        <is>
          <t>Çatı + boş alan; yüzer GES ile artırılabilir</t>
        </is>
      </c>
    </row>
    <row r="3">
      <c r="A3" t="inlineStr">
        <is>
          <t>Yıllık özgül üretim (kWh/kWp)</t>
        </is>
      </c>
      <c r="B3" s="8" t="n">
        <v>1400</v>
      </c>
      <c r="C3" t="inlineStr">
        <is>
          <t>Ekvator kuşağı, yüksek ışınım; ihtiyatlı değer</t>
        </is>
      </c>
    </row>
    <row r="4">
      <c r="A4" t="inlineStr">
        <is>
          <t>ESS kapasitesi (kWh)</t>
        </is>
      </c>
      <c r="B4" s="8" t="n">
        <v>1000</v>
      </c>
      <c r="C4" t="inlineStr">
        <is>
          <t>HYXI / Huawei C&amp;I ESS; öğlen fazlasını akşama kaydırır</t>
        </is>
      </c>
    </row>
    <row r="5">
      <c r="A5" t="inlineStr">
        <is>
          <t>GES kurulum maliyeti ($/kWp)</t>
        </is>
      </c>
      <c r="B5" s="8" t="n">
        <v>1100</v>
      </c>
      <c r="C5" t="inlineStr">
        <is>
          <t>Ada lojistiği, korozyona dayanıklı montaj dahil</t>
        </is>
      </c>
    </row>
    <row r="6">
      <c r="A6" t="inlineStr">
        <is>
          <t>ESS kurulum maliyeti ($/kWh)</t>
        </is>
      </c>
      <c r="B6" s="8" t="n">
        <v>400</v>
      </c>
      <c r="C6" t="inlineStr">
        <is>
          <t>C&amp;I konteyner/kabin ESS, kurulum ve EMS dahil</t>
        </is>
      </c>
    </row>
    <row r="7">
      <c r="A7" t="inlineStr">
        <is>
          <t>Kaçınılan dizel maliyeti ($/kWh)</t>
        </is>
      </c>
      <c r="B7" s="8" t="n">
        <v>0.25</v>
      </c>
      <c r="C7" t="inlineStr">
        <is>
          <t>Kaynaklar: 0,23–0,33 $/kWh; Sun Siyam beyanı ≈0,21 $/kWh (2025 fiyatı). 2026'da dizel ~1,14 $/L</t>
        </is>
      </c>
    </row>
    <row r="8">
      <c r="A8" t="inlineStr">
        <is>
          <t>Jeneratör bakım/çalışma saati tasarrufu ($/yıl)</t>
        </is>
      </c>
      <c r="B8" s="8" t="n">
        <v>40000</v>
      </c>
      <c r="C8" t="inlineStr">
        <is>
          <t>ESS sayesinde jeneratör sayısı/saatleri azalır (varsayım)</t>
        </is>
      </c>
    </row>
    <row r="9">
      <c r="A9" t="inlineStr">
        <is>
          <t>Yıllık bakım (O&amp;M) maliyeti (% yatırım)</t>
        </is>
      </c>
      <c r="B9" s="15" t="n">
        <v>0.015</v>
      </c>
      <c r="C9" t="inlineStr">
        <is>
          <t>GES + ESS işletme bakım</t>
        </is>
      </c>
    </row>
    <row r="10">
      <c r="A10" t="inlineStr">
        <is>
          <t>Yıllık resort tüketimi (kWh)</t>
        </is>
      </c>
      <c r="B10" s="8" t="n">
        <v>4400000</v>
      </c>
      <c r="C10" t="inlineStr">
        <is>
          <t>~12.000 kWh/gün; büyük resortlarda 17.000+ kWh/gün</t>
        </is>
      </c>
    </row>
    <row r="12">
      <c r="A12" s="6" t="inlineStr">
        <is>
          <t>SONUÇLAR</t>
        </is>
      </c>
    </row>
    <row r="13">
      <c r="A13" t="inlineStr">
        <is>
          <t>Yıllık GES üretimi (kWh)</t>
        </is>
      </c>
      <c r="B13" s="16">
        <f>B2*B3</f>
        <v/>
      </c>
      <c r="C13" t="inlineStr">
        <is>
          <t>Batarya ile büyük kısmı resortta tüketilir</t>
        </is>
      </c>
    </row>
    <row r="14">
      <c r="A14" t="inlineStr">
        <is>
          <t>Toplam yatırım ($)</t>
        </is>
      </c>
      <c r="B14" s="16">
        <f>B2*B5+B4*B6</f>
        <v/>
      </c>
      <c r="C14" t="inlineStr"/>
    </row>
    <row r="15">
      <c r="A15" t="inlineStr">
        <is>
          <t>Yıllık dizel tasarrufu ($)</t>
        </is>
      </c>
      <c r="B15" s="16">
        <f>B13*B7+B8</f>
        <v/>
      </c>
      <c r="C15" t="inlineStr">
        <is>
          <t>GES üretimi × kaçınılan dizel maliyeti + jeneratör tasarrufu</t>
        </is>
      </c>
    </row>
    <row r="16">
      <c r="A16" t="inlineStr">
        <is>
          <t>Yıllık O&amp;M ($)</t>
        </is>
      </c>
      <c r="B16" s="16">
        <f>B14*B9</f>
        <v/>
      </c>
      <c r="C16" t="inlineStr"/>
    </row>
    <row r="17">
      <c r="A17" t="inlineStr">
        <is>
          <t>Net yıllık tasarruf ($)</t>
        </is>
      </c>
      <c r="B17" s="16">
        <f>B15-B16</f>
        <v/>
      </c>
      <c r="C17" t="inlineStr"/>
    </row>
    <row r="18">
      <c r="A18" t="inlineStr">
        <is>
          <t>Basit geri dönüş süresi (yıl)</t>
        </is>
      </c>
      <c r="B18" s="17">
        <f>B14/B17</f>
        <v/>
      </c>
      <c r="C18" t="inlineStr">
        <is>
          <t>Huawei Soneva Secret vakası: 4–5 yıl</t>
        </is>
      </c>
    </row>
    <row r="19">
      <c r="A19" t="inlineStr">
        <is>
          <t>Yenilenebilir payı (%)</t>
        </is>
      </c>
      <c r="B19" s="18">
        <f>B13/B10</f>
        <v/>
      </c>
      <c r="C19" t="inlineStr">
        <is>
          <t>Toplam tüketime oranla</t>
        </is>
      </c>
    </row>
    <row r="20">
      <c r="A20" t="inlineStr">
        <is>
          <t>Yıllık dizel tasarrufu (litre, ~3,5 kWh/L)</t>
        </is>
      </c>
      <c r="B20" s="16">
        <f>B13/3.5</f>
        <v/>
      </c>
      <c r="C20" t="inlineStr"/>
    </row>
    <row r="22">
      <c r="A22" s="6" t="inlineStr">
        <is>
          <t>DUYARLILIK (dizel maliyeti değişirse)</t>
        </is>
      </c>
    </row>
    <row r="23">
      <c r="A23" t="inlineStr">
        <is>
          <t>Kaçınılan dizel maliyeti ($/kWh)</t>
        </is>
      </c>
      <c r="B23" t="inlineStr">
        <is>
          <t>Geri dönüş (yıl)</t>
        </is>
      </c>
    </row>
    <row r="24">
      <c r="A24" s="19" t="n">
        <v>0.2</v>
      </c>
      <c r="B24" s="20">
        <f>B14/(B13*A24+B8-B16)</f>
        <v/>
      </c>
    </row>
    <row r="25">
      <c r="A25" s="19" t="n">
        <v>0.25</v>
      </c>
      <c r="B25" s="20">
        <f>B14/(B13*A25+B8-B16)</f>
        <v/>
      </c>
    </row>
    <row r="26">
      <c r="A26" s="19" t="n">
        <v>0.3</v>
      </c>
      <c r="B26" s="20">
        <f>B14/(B13*A26+B8-B16)</f>
        <v/>
      </c>
    </row>
    <row r="27">
      <c r="A27" s="19" t="n">
        <v>0.35</v>
      </c>
      <c r="B27" s="20">
        <f>B14/(B13*A27+B8-B16)</f>
        <v/>
      </c>
    </row>
    <row r="29">
      <c r="A29" t="inlineStr">
        <is>
          <t>Not: Batarya ~10–12. yılda kapasite kaybı yaşar; uzun vadeli hesapta yenileme bütçesi eklenmelidir.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0" customWidth="1" min="2" max="2"/>
  </cols>
  <sheetData>
    <row r="1" ht="32" customHeight="1">
      <c r="A1" s="4" t="inlineStr">
        <is>
          <t>Bilgi</t>
        </is>
      </c>
      <c r="B1" s="4" t="inlineStr">
        <is>
          <t>Kaynak bağlantısı</t>
        </is>
      </c>
    </row>
    <row r="2">
      <c r="A2" s="11" t="inlineStr">
        <is>
          <t>Dizel üretim maliyeti 0,23–0,33 $/kWh; küçük adalarda 0,70 $/kWh'e kadar; resortlarda ~144 MW dizel</t>
        </is>
      </c>
      <c r="B2" s="11" t="inlineStr">
        <is>
          <t>https://www.cif.org/sites/cif_enc/files/knowledge-documents/66436_191219_maldives_case_study_v7s.pdf</t>
        </is>
      </c>
    </row>
    <row r="3">
      <c r="A3" s="11" t="inlineStr">
        <is>
          <t>ADB Maldivler Yenilenebilir Yol Haritası</t>
        </is>
      </c>
      <c r="B3" s="11" t="inlineStr">
        <is>
          <t>https://www.adb.org/sites/default/files/publication/654021/renewables-roadmap-energy-sector-maldives.pdf</t>
        </is>
      </c>
    </row>
    <row r="4">
      <c r="A4" s="11" t="inlineStr">
        <is>
          <t>Enerji Yol Haritası 2024–2033</t>
        </is>
      </c>
      <c r="B4" s="11" t="inlineStr">
        <is>
          <t>https://www.environment.gov.mv/v2/wp-content/files/publications/20241107-pub-energy-roadmap-maldives-2024-2033-.pdf</t>
        </is>
      </c>
    </row>
    <row r="5">
      <c r="A5" s="11" t="inlineStr">
        <is>
          <t>%33 yenilenebilir @2028 hedefi</t>
        </is>
      </c>
      <c r="B5" s="11" t="inlineStr">
        <is>
          <t>https://en.mmtv.mv/246</t>
        </is>
      </c>
    </row>
    <row r="6">
      <c r="A6" s="11" t="inlineStr">
        <is>
          <t>Yenilenebilir kapasite 53 MW -&gt; 126 MW; Raa/Baa 6,5 MW GES + 10 MW batarya</t>
        </is>
      </c>
      <c r="B6" s="11" t="inlineStr">
        <is>
          <t>https://edition.mv/news/54359</t>
        </is>
      </c>
    </row>
    <row r="7">
      <c r="A7" s="11" t="inlineStr">
        <is>
          <t>Dizel fiyatı 17,54 MVR/L (~1,14 $/L), Mart 2026 artışı</t>
        </is>
      </c>
      <c r="B7" s="11" t="inlineStr">
        <is>
          <t>https://www.globalpetrolprices.com/Maldives/diesel_prices/</t>
        </is>
      </c>
    </row>
    <row r="8">
      <c r="A8" s="11" t="inlineStr">
        <is>
          <t>2026 petrol şoku – dizel fiyatları</t>
        </is>
      </c>
      <c r="B8" s="11" t="inlineStr">
        <is>
          <t>https://maldivesindependent.com/economy/half-a-gas-cylinder-double-the-diesel-price-the-oil-shock-hits-maldives-d022</t>
        </is>
      </c>
    </row>
    <row r="9">
      <c r="A9" s="11" t="inlineStr">
        <is>
          <t>179 resort, 44.807 resort yatağı (2026)</t>
        </is>
      </c>
      <c r="B9" s="11" t="inlineStr">
        <is>
          <t>https://en.maaldif.com/11791/</t>
        </is>
      </c>
    </row>
    <row r="10">
      <c r="A10" s="11" t="inlineStr">
        <is>
          <t>Swimsol: 50+ resort, Cheval Blanc 2,4 MWp, yılda 1,5 M$ tasarruf</t>
        </is>
      </c>
      <c r="B10" s="11" t="inlineStr">
        <is>
          <t>https://www.businesswire.com/news/home/20260422437338/en/Swimsols-SolarSea-Maldives-Largest-Floating-Solar-Array-at-Sea-Saves-One-Island-USD-1.5-Million-Per-Year</t>
        </is>
      </c>
    </row>
    <row r="11">
      <c r="A11" s="11" t="inlineStr">
        <is>
          <t>Fari Islands GES genişlemesi</t>
        </is>
      </c>
      <c r="B11" s="11" t="inlineStr">
        <is>
          <t>https://www.pv-magazine.com/2025/07/11/fari-islands-set-to-triple-use-of-solar-energy/</t>
        </is>
      </c>
    </row>
    <row r="12">
      <c r="A12" s="11" t="inlineStr">
        <is>
          <t>Solmacher + Huawei 40 MWh BESS, Royal Rosewood</t>
        </is>
      </c>
      <c r="B12" s="11" t="inlineStr">
        <is>
          <t>https://www.constructionworld.in/energy-infrastructure/power-and-renewable-energy/solmacher-signs-huawei-deal-for-40-mwh-bess-in-maldives/96106</t>
        </is>
      </c>
    </row>
    <row r="13">
      <c r="A13" s="11" t="inlineStr">
        <is>
          <t>Huawei – Soneva Secret vaka çalışması (geri dönüş 4–5 yıl)</t>
        </is>
      </c>
      <c r="B13" s="11" t="inlineStr">
        <is>
          <t>https://digitalpower.huawei.com/en/cases/fusionsolar/floating-solar-maldives</t>
        </is>
      </c>
    </row>
    <row r="14">
      <c r="A14" s="11" t="inlineStr">
        <is>
          <t>Canopy Power – Soneva</t>
        </is>
      </c>
      <c r="B14" s="11" t="inlineStr">
        <is>
          <t>https://www.canopypower.com/resources/floating-solar-in-maldives</t>
        </is>
      </c>
    </row>
    <row r="15">
      <c r="A15" s="11" t="inlineStr">
        <is>
          <t>Sun Siyam GES + ESS (Hayleys Fentons)</t>
        </is>
      </c>
      <c r="B15" s="11" t="inlineStr">
        <is>
          <t>https://www.ttgasia.com/2025/12/16/sun-siyam-launches-major-solar-energy-project-in-maldives-resorts/</t>
        </is>
      </c>
    </row>
    <row r="16">
      <c r="A16" s="11" t="inlineStr">
        <is>
          <t>Veligandu GES + 1.668 kWh ESS</t>
        </is>
      </c>
      <c r="B16" s="11" t="inlineStr">
        <is>
          <t>https://veligandu.com/sustainability/veligandu-solar-power/</t>
        </is>
      </c>
    </row>
    <row r="17">
      <c r="A17" s="11" t="inlineStr">
        <is>
          <t>Centara GES sonuçları</t>
        </is>
      </c>
      <c r="B17" s="11" t="inlineStr">
        <is>
          <t>https://www.hospitalitynet.org/news/4130648/centara-leads-the-fight-against-climate-change-in-the-maldives</t>
        </is>
      </c>
    </row>
    <row r="18">
      <c r="A18" s="11" t="inlineStr">
        <is>
          <t>RAH GILI tüketim verisi</t>
        </is>
      </c>
      <c r="B18" s="11" t="inlineStr">
        <is>
          <t>https://hoteliermaldives.com/solar-at-scale-how-rah-gili-maldives-is-reducing-diesel-dependence-and-embracing-sustainability/</t>
        </is>
      </c>
    </row>
    <row r="19">
      <c r="A19" s="11" t="inlineStr">
        <is>
          <t>ASSURE 40 MWh BESS ihalesi</t>
        </is>
      </c>
      <c r="B19" s="11" t="inlineStr">
        <is>
          <t>https://www.energy-storage.news/maldives-launches-tender-seeking-40mwh-bess-and-ems-across-18-islands/</t>
        </is>
      </c>
    </row>
    <row r="20">
      <c r="A20" s="11" t="inlineStr">
        <is>
          <t>Pontiac Land ilk yeşil kredi (180 M$)</t>
        </is>
      </c>
      <c r="B20" s="11" t="inlineStr">
        <is>
          <t>https://hotelsmag.com/news/pontiac-land-secures-green-loan-in-the-maldives/</t>
        </is>
      </c>
    </row>
    <row r="21">
      <c r="A21" s="11" t="inlineStr">
        <is>
          <t>URA ve lisans gereklilikleri</t>
        </is>
      </c>
      <c r="B21" s="11" t="inlineStr">
        <is>
          <t>https://www.ctlstrategies.com/latest/maldives-energy-act/</t>
        </is>
      </c>
    </row>
    <row r="22">
      <c r="A22" s="11" t="inlineStr">
        <is>
          <t>ENF Solar – Maldivler kurulumcu dizini</t>
        </is>
      </c>
      <c r="B22" s="11" t="inlineStr">
        <is>
          <t>https://www.enfsolar.com/directory/installer/Maldives</t>
        </is>
      </c>
    </row>
    <row r="23">
      <c r="A23" s="11" t="inlineStr">
        <is>
          <t>Yeni resort projeleri 2026–2027</t>
        </is>
      </c>
      <c r="B23" s="11" t="inlineStr">
        <is>
          <t>https://resortlife.travel/maldives-new-resorts</t>
        </is>
      </c>
    </row>
    <row r="24">
      <c r="A24" s="11" t="inlineStr">
        <is>
          <t>Atmosphere Core GES / Amaraa Faru</t>
        </is>
      </c>
      <c r="B24" s="11" t="inlineStr">
        <is>
          <t>https://www.hotelierindia.com/development/atmosphere-core-signs-its-10th-resort-in-maldives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2026-10-06T15:23:45Z</dcterms:created>
  <dcterms:modified xmlns:dcterms="http://purl.org/dc/terms/" xmlns:xsi="http://www.w3.org/2001/XMLSchema-instance" xsi:type="dcterms:W3CDTF">2026-10-06T15:23:45Z</dcterms:modified>
</cp:coreProperties>
</file>